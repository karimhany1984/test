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kekon\Desktop\"/>
    </mc:Choice>
  </mc:AlternateContent>
  <xr:revisionPtr revIDLastSave="0" documentId="13_ncr:1_{CE440732-E9B2-4659-9D8A-7493A8CBC64E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المرور" sheetId="1" r:id="rId1"/>
    <sheet name="الاجمالي" sheetId="2" r:id="rId2"/>
    <sheet name="don,t delete or edit this sheet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96" i="1" l="1"/>
  <c r="D872" i="1"/>
  <c r="D804" i="1"/>
  <c r="D750" i="1"/>
  <c r="E32" i="2" s="1"/>
  <c r="D714" i="1"/>
  <c r="D522" i="1"/>
  <c r="D431" i="1"/>
  <c r="E22" i="2" s="1"/>
  <c r="D414" i="1"/>
  <c r="E21" i="2" s="1"/>
  <c r="D372" i="1"/>
  <c r="D299" i="1"/>
  <c r="E18" i="2" s="1"/>
  <c r="D261" i="1"/>
  <c r="D212" i="1"/>
  <c r="E15" i="2" s="1"/>
  <c r="D195" i="1"/>
  <c r="D154" i="1"/>
  <c r="D111" i="1"/>
  <c r="E12" i="2" s="1"/>
  <c r="D107" i="1"/>
  <c r="E11" i="2" s="1"/>
  <c r="D103" i="1"/>
  <c r="D92" i="1"/>
  <c r="D74" i="1"/>
  <c r="E41" i="2"/>
  <c r="F3" i="2" s="1"/>
  <c r="D935" i="1"/>
  <c r="E40" i="2" s="1"/>
  <c r="E39" i="2"/>
  <c r="D879" i="1"/>
  <c r="E38" i="2" s="1"/>
  <c r="E37" i="2"/>
  <c r="D834" i="1"/>
  <c r="E36" i="2" s="1"/>
  <c r="D821" i="1"/>
  <c r="E35" i="2" s="1"/>
  <c r="E34" i="2"/>
  <c r="D778" i="1"/>
  <c r="E33" i="2" s="1"/>
  <c r="E31" i="2"/>
  <c r="D676" i="1"/>
  <c r="E30" i="2" s="1"/>
  <c r="D633" i="1"/>
  <c r="E29" i="2" s="1"/>
  <c r="D556" i="1"/>
  <c r="E28" i="2" s="1"/>
  <c r="D540" i="1"/>
  <c r="E27" i="2" s="1"/>
  <c r="D531" i="1"/>
  <c r="E26" i="2" s="1"/>
  <c r="E25" i="2"/>
  <c r="D479" i="1"/>
  <c r="E24" i="2" s="1"/>
  <c r="D453" i="1"/>
  <c r="E23" i="2" s="1"/>
  <c r="E20" i="2"/>
  <c r="D326" i="1"/>
  <c r="E19" i="2" s="1"/>
  <c r="D278" i="1"/>
  <c r="E17" i="2" s="1"/>
  <c r="E16" i="2"/>
  <c r="E14" i="2"/>
  <c r="E13" i="2"/>
  <c r="E10" i="2"/>
  <c r="E9" i="2"/>
  <c r="D87" i="1"/>
  <c r="E8" i="2" s="1"/>
  <c r="D80" i="1"/>
  <c r="E7" i="2" s="1"/>
  <c r="E6" i="2"/>
</calcChain>
</file>

<file path=xl/sharedStrings.xml><?xml version="1.0" encoding="utf-8"?>
<sst xmlns="http://schemas.openxmlformats.org/spreadsheetml/2006/main" count="981" uniqueCount="936">
  <si>
    <t xml:space="preserve">              وزارة الصحـة و الســـــكان</t>
  </si>
  <si>
    <t xml:space="preserve">      الإدارة المركزية لجودة الرعاية الصحية</t>
  </si>
  <si>
    <t xml:space="preserve">            الادارة العامة لمتابعة المديريات</t>
  </si>
  <si>
    <t xml:space="preserve">Hospital assessment standards 2025 </t>
  </si>
  <si>
    <t>م</t>
  </si>
  <si>
    <t>المعيــــــار</t>
  </si>
  <si>
    <t>التقييم</t>
  </si>
  <si>
    <t>ملاحظات</t>
  </si>
  <si>
    <t xml:space="preserve">    إشتراطات عامة:</t>
  </si>
  <si>
    <t>1. النظام الصحي والخدمات:</t>
  </si>
  <si>
    <t>لافتة بالخدمات المقدمة في المستشفى معلنة و محدثة و معتمدة.</t>
  </si>
  <si>
    <r>
      <rPr>
        <b/>
        <sz val="14"/>
        <rFont val="Times New Roman"/>
        <charset val="134"/>
      </rPr>
      <t>لافتة رئيسية  بأسعار الخدمات المقدمة معلنة و محدثة و معتمدة و لها مرجع.</t>
    </r>
  </si>
  <si>
    <r>
      <rPr>
        <b/>
        <sz val="14"/>
        <rFont val="Times New Roman"/>
        <charset val="134"/>
      </rPr>
      <t>لافتة فرعية  بأسعار الخدمات المقدمة  معلنة و محدثة و معتمدة و لها مرجع:
 المعمل 
 الأشعة  
 الأسنان
 أماكن أخرى</t>
    </r>
  </si>
  <si>
    <r>
      <rPr>
        <b/>
        <sz val="14"/>
        <rFont val="Times New Roman"/>
        <charset val="134"/>
      </rPr>
      <t>لافتة موضح بها توزيع وتقسيمات وحدات المبنى الداخلية بالتفصيل كل طابق على حدة .</t>
    </r>
  </si>
  <si>
    <t>2. القيادة والإدارة:</t>
  </si>
  <si>
    <r>
      <rPr>
        <b/>
        <sz val="14"/>
        <rFont val="Times New Roman"/>
        <charset val="134"/>
      </rPr>
      <t>يوجد هيكل تنظيمي بالمسمى الوظيفى و الأسماء معلن و محدث و معتمد.</t>
    </r>
  </si>
  <si>
    <r>
      <rPr>
        <b/>
        <sz val="14"/>
        <rFont val="Times New Roman"/>
        <charset val="134"/>
      </rPr>
      <t>يوجد توصيف وظيفي لجميع العاملين و جميع المسميات الوظيفية بالمستشفى.</t>
    </r>
  </si>
  <si>
    <r>
      <rPr>
        <b/>
        <sz val="14"/>
        <rFont val="Times New Roman"/>
        <charset val="134"/>
      </rPr>
      <t>جميع العاملين على علم و دراية تامة بالتوصيف الوظيفي .</t>
    </r>
  </si>
  <si>
    <r>
      <rPr>
        <b/>
        <sz val="14"/>
        <rFont val="Times New Roman"/>
        <charset val="134"/>
      </rPr>
      <t>نسخة  من الخطة الإستراتيجية العامة للمستشفى طبقاً لإستراتيجية الصحة.</t>
    </r>
  </si>
  <si>
    <r>
      <rPr>
        <b/>
        <sz val="14"/>
        <rFont val="Times New Roman"/>
        <charset val="134"/>
      </rPr>
      <t xml:space="preserve"> نسخة من خطة العمل التشغيلية .</t>
    </r>
  </si>
  <si>
    <t>3. تنظيم العمل :</t>
  </si>
  <si>
    <r>
      <rPr>
        <b/>
        <sz val="14"/>
        <rFont val="Times New Roman"/>
        <charset val="134"/>
      </rPr>
      <t>تواجد جداول عمل تنظيمية على مدار 24 ساعة لجميع العاملين بجميع أقسام المستشفى.</t>
    </r>
  </si>
  <si>
    <r>
      <rPr>
        <b/>
        <sz val="14"/>
        <rFont val="Times New Roman"/>
        <charset val="134"/>
      </rPr>
      <t>تواجد العاملون طبقا لجداول العمل التنظيمية  بكل قسم.</t>
    </r>
  </si>
  <si>
    <r>
      <rPr>
        <b/>
        <sz val="14"/>
        <rFont val="Times New Roman"/>
        <charset val="134"/>
      </rPr>
      <t>يوجد رئيس لكل وحدة / قسم له مهام ومسئوليات محددة  ( أمر تكليف موثق و معتمد).</t>
    </r>
  </si>
  <si>
    <r>
      <rPr>
        <b/>
        <sz val="14"/>
        <rFont val="Times New Roman"/>
        <charset val="134"/>
      </rPr>
      <t>يلتزم جميع العاملين بالزى الخاص بهم  .</t>
    </r>
  </si>
  <si>
    <r>
      <rPr>
        <b/>
        <sz val="14"/>
        <rFont val="Times New Roman"/>
        <charset val="134"/>
      </rPr>
      <t>يلتزم جميع العاملين بوضع بادج تعريف موضح فيه : الإسم والقسم والصورة</t>
    </r>
  </si>
  <si>
    <r>
      <rPr>
        <b/>
        <sz val="14"/>
        <rFont val="Times New Roman"/>
        <charset val="134"/>
      </rPr>
      <t>يوجد مواصفات دخول و خروج معتمدة و متاحة للفريق الطبى لكل من :
 العناية المركزة
 وحدة الأطفال المبتسرين
 وحدة الغسيل الكلوى
 وحدة الحروق إن وُجدت.</t>
    </r>
  </si>
  <si>
    <r>
      <rPr>
        <b/>
        <sz val="14"/>
        <rFont val="Times New Roman"/>
        <charset val="134"/>
      </rPr>
      <t>وثيقة حقوق و واجبات المرضي واضحة ومعلنة و محدثة.</t>
    </r>
  </si>
  <si>
    <r>
      <rPr>
        <b/>
        <sz val="14"/>
        <rFont val="Times New Roman"/>
        <charset val="134"/>
      </rPr>
      <t>ملصقات منع التدخين معلنة و مطبقة بجميع الأماكن بالمستشفى.</t>
    </r>
  </si>
  <si>
    <t>4. البنية التحتية العامة بالمستشفى :</t>
  </si>
  <si>
    <r>
      <rPr>
        <b/>
        <sz val="14"/>
        <rFont val="Times New Roman"/>
        <charset val="134"/>
      </rPr>
      <t>حجرات المنشأة الطبية جيدة التهوية والإضاءة</t>
    </r>
  </si>
  <si>
    <r>
      <rPr>
        <b/>
        <sz val="14"/>
        <rFont val="Times New Roman"/>
        <charset val="134"/>
      </rPr>
      <t>المنشأة مزودة بوسائل تغذيتها بالمياه النقية بصفة مستمرة</t>
    </r>
  </si>
  <si>
    <r>
      <rPr>
        <b/>
        <sz val="14"/>
        <rFont val="Times New Roman"/>
        <charset val="134"/>
      </rPr>
      <t>المنشأة مزودة بوسائل الصرف الصحى المناسبة و السليمة</t>
    </r>
  </si>
  <si>
    <r>
      <rPr>
        <b/>
        <sz val="14"/>
        <rFont val="Times New Roman"/>
        <charset val="134"/>
      </rPr>
      <t>تزود المنشأة بالوسائل والأدوات الصحية اللازمة للتخلص من القمامة والفضلات</t>
    </r>
  </si>
  <si>
    <r>
      <rPr>
        <b/>
        <sz val="14"/>
        <rFont val="Times New Roman"/>
        <charset val="134"/>
      </rPr>
      <t>تزود المنشأة بالأجهزة اللازمة لإطفاء الحريق</t>
    </r>
  </si>
  <si>
    <r>
      <rPr>
        <b/>
        <sz val="14"/>
        <rFont val="Times New Roman"/>
        <charset val="134"/>
      </rPr>
      <t>شهادة من إدارة الدفاع المدنى والحريق بتوفر الإشتراطات اللازمة للحماية من الحريق</t>
    </r>
  </si>
  <si>
    <r>
      <rPr>
        <b/>
        <sz val="14"/>
        <rFont val="Times New Roman"/>
        <charset val="134"/>
      </rPr>
      <t>طفاية لكل (30) متر مربع .</t>
    </r>
  </si>
  <si>
    <r>
      <rPr>
        <b/>
        <sz val="14"/>
        <rFont val="Times New Roman"/>
        <charset val="134"/>
      </rPr>
      <t xml:space="preserve">شهادة تداول المواد والنفايات الخطرة </t>
    </r>
  </si>
  <si>
    <r>
      <rPr>
        <b/>
        <sz val="14"/>
        <rFont val="Times New Roman"/>
        <charset val="134"/>
      </rPr>
      <t>ما يفيد التعاقد مع محرقة للنفايات الطبية</t>
    </r>
  </si>
  <si>
    <r>
      <rPr>
        <b/>
        <sz val="14"/>
        <rFont val="Times New Roman"/>
        <charset val="134"/>
      </rPr>
      <t xml:space="preserve">تزود كل غرفة من غرف المرضى بالمنشأة:
 بأثاث سهل التنظيف لا يعوق التهوية والإضاءة 
 لاتقل المساحة المخصصة لكل سرير عن 9 متر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دورة مياه وحمام لكل عشرة أسرة على الأكثر فى حالة عدم تزويد الغرفة بدورة مياه مستقلة</t>
    </r>
  </si>
  <si>
    <r>
      <rPr>
        <b/>
        <sz val="14"/>
        <rFont val="Times New Roman"/>
        <charset val="134"/>
      </rPr>
      <t xml:space="preserve">توجد محطة تمريضية تسمح بمراقبة جميع المرضي : 
 	أثاث لحفظ الملفات و السجلات ( المفتوحة) مؤمن. 
 	أثاث لحفظ الأدوية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	أثاث لحفظ المهمات و الآلات الطبية اللازمة للعمل التمريضي</t>
    </r>
  </si>
  <si>
    <r>
      <rPr>
        <b/>
        <sz val="14"/>
        <rFont val="Times New Roman"/>
        <charset val="134"/>
      </rPr>
      <t>توافر حوض مخصص  لغسيل الأيدي به :
 معنون بحوض غسيل الأيدى
 مستلزمات غسيل الأيدى
 ملصقات اللحظات الخمس و بوستر غسيل الأيدى ( و فى حالة عدم توافر حوض يوضع بوستر الدلك بالكحول).</t>
    </r>
  </si>
  <si>
    <r>
      <rPr>
        <b/>
        <sz val="14"/>
        <rFont val="Times New Roman"/>
        <charset val="134"/>
      </rPr>
      <t>توفر الخصوصية عن طريق فواصل بين الأسرة سهلة التنظيف و التطهير طبقاً لتعليمات مكافحة العدوى.</t>
    </r>
  </si>
  <si>
    <r>
      <rPr>
        <b/>
        <sz val="14"/>
        <rFont val="Times New Roman"/>
        <charset val="134"/>
      </rPr>
      <t xml:space="preserve">يتم عمل الصيانة الدورية / التصحيحية لجميع الأجهزة </t>
    </r>
  </si>
  <si>
    <r>
      <rPr>
        <b/>
        <sz val="14"/>
        <rFont val="Times New Roman"/>
        <charset val="134"/>
      </rPr>
      <t xml:space="preserve">التوصيلات الكهربائية يجب أن تكون سليمة و داخل مواسير عازلة مركبة داخل الحوائط </t>
    </r>
  </si>
  <si>
    <r>
      <rPr>
        <b/>
        <sz val="14"/>
        <rFont val="Times New Roman"/>
        <charset val="134"/>
      </rPr>
      <t>يوجد كارت  تعريف و كارت صيانة لكل جهاز .</t>
    </r>
  </si>
  <si>
    <r>
      <rPr>
        <b/>
        <sz val="14"/>
        <rFont val="Times New Roman"/>
        <charset val="134"/>
      </rPr>
      <t>تدعم المستشفى حق المريض في التقدم بشكوى شفوية أو مكتوبة، موقعة أو غير موقعة:
 توجد صناديق أو مكتب لتلقي الشكاوى.
 وثيقة حقوق المريض تشمل هذا الحق.
 توجد لجنة أو جهة لفحص الشكاوى.
 يوجد سجل للشكاوى يتضمن إجراءات تصحيحية يتم إتخاذهافي الشكاوى.</t>
    </r>
  </si>
  <si>
    <t>5. التراخيص :</t>
  </si>
  <si>
    <r>
      <rPr>
        <b/>
        <sz val="14"/>
        <rFont val="Times New Roman"/>
        <charset val="134"/>
      </rPr>
      <t xml:space="preserve">ترخيص الأشعة </t>
    </r>
  </si>
  <si>
    <r>
      <rPr>
        <b/>
        <sz val="14"/>
        <rFont val="Times New Roman"/>
        <charset val="134"/>
      </rPr>
      <t>الغسيل الكلوى</t>
    </r>
  </si>
  <si>
    <t>N/A</t>
  </si>
  <si>
    <r>
      <rPr>
        <b/>
        <sz val="14"/>
        <rFont val="Times New Roman"/>
        <charset val="134"/>
      </rPr>
      <t>قسطرة القلب</t>
    </r>
  </si>
  <si>
    <r>
      <rPr>
        <b/>
        <sz val="14"/>
        <rFont val="Times New Roman"/>
        <charset val="134"/>
      </rPr>
      <t>تداول النفايات</t>
    </r>
  </si>
  <si>
    <r>
      <rPr>
        <b/>
        <sz val="14"/>
        <rFont val="Times New Roman"/>
        <charset val="134"/>
      </rPr>
      <t>بنك الدم</t>
    </r>
  </si>
  <si>
    <r>
      <rPr>
        <b/>
        <sz val="14"/>
        <rFont val="Times New Roman"/>
        <charset val="134"/>
      </rPr>
      <t>المولدات الكهربائية</t>
    </r>
  </si>
  <si>
    <r>
      <rPr>
        <b/>
        <sz val="14"/>
        <rFont val="Times New Roman"/>
        <charset val="134"/>
      </rPr>
      <t>المصاعد</t>
    </r>
  </si>
  <si>
    <t>6. العقود :</t>
  </si>
  <si>
    <r>
      <rPr>
        <b/>
        <sz val="14"/>
        <rFont val="Times New Roman"/>
        <charset val="134"/>
      </rPr>
      <t>الصيانة الدورية للأجهزة</t>
    </r>
  </si>
  <si>
    <r>
      <rPr>
        <b/>
        <sz val="14"/>
        <rFont val="Times New Roman"/>
        <charset val="134"/>
      </rPr>
      <t>النفايات</t>
    </r>
  </si>
  <si>
    <r>
      <rPr>
        <b/>
        <sz val="14"/>
        <rFont val="Times New Roman"/>
        <charset val="134"/>
      </rPr>
      <t>صورة من التعاقد مع العاملين</t>
    </r>
  </si>
  <si>
    <r>
      <rPr>
        <b/>
        <sz val="14"/>
        <rFont val="Times New Roman"/>
        <charset val="134"/>
      </rPr>
      <t>شركة أمن</t>
    </r>
  </si>
  <si>
    <r>
      <rPr>
        <b/>
        <sz val="14"/>
        <rFont val="Times New Roman"/>
        <charset val="134"/>
      </rPr>
      <t>شركة نظافة</t>
    </r>
  </si>
  <si>
    <t>7. النظافة :</t>
  </si>
  <si>
    <r>
      <rPr>
        <b/>
        <sz val="14"/>
        <rFont val="Times New Roman"/>
        <charset val="134"/>
      </rPr>
      <t xml:space="preserve">تتوافر بكل لقسم معدات و مستلزمات النظافة </t>
    </r>
  </si>
  <si>
    <r>
      <rPr>
        <b/>
        <sz val="14"/>
        <rFont val="Times New Roman"/>
        <charset val="134"/>
      </rPr>
      <t xml:space="preserve">توجد جداول للتنظيف والتطهير اليومي وبعد خروج المريض والدوري </t>
    </r>
  </si>
  <si>
    <r>
      <rPr>
        <b/>
        <sz val="14"/>
        <rFont val="Times New Roman"/>
        <charset val="134"/>
      </rPr>
      <t>العاملون علي علم بالطريقة الصحيحة لتنظيف وتطهير أسطح العمل</t>
    </r>
  </si>
  <si>
    <r>
      <rPr>
        <b/>
        <sz val="14"/>
        <rFont val="Times New Roman"/>
        <charset val="134"/>
      </rPr>
      <t xml:space="preserve">يلتزم عمال النظافة بالزى الرسمي لهم مع وجود بادج تعريف لكل منهم </t>
    </r>
  </si>
  <si>
    <r>
      <rPr>
        <b/>
        <sz val="14"/>
        <rFont val="Times New Roman"/>
        <charset val="134"/>
      </rPr>
      <t>يرتدي عمال النظافة المستلزمات الواقية أثناء التنظيف</t>
    </r>
  </si>
  <si>
    <r>
      <rPr>
        <b/>
        <sz val="14"/>
        <rFont val="Times New Roman"/>
        <charset val="134"/>
      </rPr>
      <t>يتم التعامل مع الإنسكابات الدموية وفقا لتعليمات مكافحة العدوى</t>
    </r>
  </si>
  <si>
    <r>
      <rPr>
        <b/>
        <sz val="14"/>
        <rFont val="Times New Roman"/>
        <charset val="134"/>
      </rPr>
      <t>دورات المياه نظيفة وصالحة للإستخدام</t>
    </r>
  </si>
  <si>
    <r>
      <rPr>
        <b/>
        <sz val="14"/>
        <rFont val="Times New Roman"/>
        <charset val="134"/>
      </rPr>
      <t>لا توجد حشرات زاحفة أو طائرة  و حيوانات ضالة.</t>
    </r>
  </si>
  <si>
    <r>
      <rPr>
        <b/>
        <sz val="14"/>
        <rFont val="Times New Roman"/>
        <charset val="134"/>
      </rPr>
      <t>جميع النوافذ مركب عليها شبك (سلك) معدني ضيق الفتحات.</t>
    </r>
  </si>
  <si>
    <t>الإجمالى</t>
  </si>
  <si>
    <t xml:space="preserve">  السياسات و الإجراءات :</t>
  </si>
  <si>
    <r>
      <rPr>
        <b/>
        <sz val="14"/>
        <rFont val="Times New Roman"/>
        <charset val="134"/>
      </rPr>
      <t>يوجد السياسات و الإجراءات الآتية محدثة و مفعلة :  
سياسات الجودة على سبيل المثال: 
السياسات العامة لسلامة و أمان المريض - إدارة و سلامة الدواء – الجراحة الآمنة – الجودة و تحسين الأداء – الرعاية المتمركزة حول المريض – الرعاية المتكاملة - ........ إلخ.</t>
    </r>
  </si>
  <si>
    <r>
      <rPr>
        <b/>
        <sz val="14"/>
        <rFont val="Times New Roman"/>
        <charset val="134"/>
      </rPr>
      <t>سياسات مكافحة العدوى على سبيل المثال:
غسيل و تطهير الأيدى - إحتياطات العزل وفقاً لطرق إنتقال العدوى المحتملة – سياسات التعقيم – التعامل مع المفروشات- الواقيات الشخصية – الوخز الآمن –فصل النفايات – تطهير البيئة - ...............إلخ.</t>
    </r>
  </si>
  <si>
    <r>
      <rPr>
        <b/>
        <sz val="14"/>
        <rFont val="Times New Roman"/>
        <charset val="134"/>
      </rPr>
      <t>السياسات التمريضية  على سبيل المثال:
رعاية التمريضية لمرضى الجهاز التنفسى الصناعى- العلاج بالأكسجين – العلامات الحيوية – الرعاية التمريضية بالأطفال المبتسرين – الرعاية التمريضية بالمرضى قبل و بعد العمليات – مرضى السكر و الضغط – 
فرز و تصنيف المرضى - ...... إلخ.</t>
    </r>
  </si>
  <si>
    <r>
      <rPr>
        <b/>
        <sz val="14"/>
        <rFont val="Times New Roman"/>
        <charset val="134"/>
      </rPr>
      <t xml:space="preserve">الفريق الطبى مدرب على هذه السياسات مع التوثيق بسجل التدريب. </t>
    </r>
  </si>
  <si>
    <t>بروتوكولات العمل:</t>
  </si>
  <si>
    <r>
      <rPr>
        <b/>
        <sz val="14"/>
        <rFont val="Times New Roman"/>
        <charset val="134"/>
      </rPr>
      <t xml:space="preserve">يتوافر بروتوكول العمل بكل قسم / وحدة </t>
    </r>
  </si>
  <si>
    <r>
      <rPr>
        <b/>
        <sz val="14"/>
        <rFont val="Times New Roman"/>
        <charset val="134"/>
      </rPr>
      <t>بروتوكول الألم</t>
    </r>
  </si>
  <si>
    <r>
      <rPr>
        <b/>
        <sz val="14"/>
        <rFont val="Times New Roman"/>
        <charset val="134"/>
      </rPr>
      <t xml:space="preserve">برتوكول الوقاية من الجلطات الوريدية الدموية VTE </t>
    </r>
  </si>
  <si>
    <r>
      <rPr>
        <b/>
        <sz val="14"/>
        <rFont val="Times New Roman"/>
        <charset val="134"/>
      </rPr>
      <t>وجود بروتوكول محدد للتعامل مع  و علاج مرضى الحروق</t>
    </r>
  </si>
  <si>
    <r>
      <rPr>
        <b/>
        <sz val="14"/>
        <rFont val="Times New Roman"/>
        <charset val="134"/>
      </rPr>
      <t>الفريق الطبى  مدرب على هذه البروتوكولات مع التوثيق بسجل التدريب.</t>
    </r>
  </si>
  <si>
    <t xml:space="preserve"> لجان المستشفى:</t>
  </si>
  <si>
    <r>
      <rPr>
        <b/>
        <sz val="14"/>
        <rFont val="Times New Roman"/>
        <charset val="134"/>
      </rPr>
      <t>قرار تشكيل كل لجنة محدث و معتمد و لكل تشكيل مرجعية ( على الأقل):
 لجنة الجودة و سلامة المرضى و تحسين الأداء.
 لجنة الدواء
 لجنة مكافحة العدوى 
 لجنة السلامة البيئية
 لجنة المراضة و الوفيات
 لجنة الهيئة الطبية
 لجنة الرعاية المتمركزة حول المريض</t>
    </r>
  </si>
  <si>
    <r>
      <rPr>
        <b/>
        <sz val="14"/>
        <rFont val="Times New Roman"/>
        <charset val="134"/>
      </rPr>
      <t>المهام والمسئوليات لكل لجنة.</t>
    </r>
  </si>
  <si>
    <r>
      <rPr>
        <b/>
        <sz val="14"/>
        <rFont val="Times New Roman"/>
        <charset val="134"/>
      </rPr>
      <t>محاضر إجتماع كل لجنة بصفة دورية و تشمل : 
توقيع الحضور فعليا – أجندة الإجتماع و ما تم مناقشته – التوصيات و تشمل المسئول عن تنفيذ كل توصية – المدة الزمنية للتنفيذ – معوقات عدم التنفيذ.</t>
    </r>
  </si>
  <si>
    <t xml:space="preserve">التسجيل الطبى :  </t>
  </si>
  <si>
    <t>الملفات الطبية:</t>
  </si>
  <si>
    <r>
      <rPr>
        <b/>
        <sz val="14"/>
        <rFont val="Times New Roman"/>
        <charset val="134"/>
      </rPr>
      <t>يوجد ملف طبى و رقم موحد لكل مريض</t>
    </r>
  </si>
  <si>
    <r>
      <rPr>
        <b/>
        <sz val="14"/>
        <rFont val="Times New Roman"/>
        <charset val="134"/>
      </rPr>
      <t>يتم إستكمال جميع نماذج الملف الطبى و التمريضى بدقة</t>
    </r>
  </si>
  <si>
    <r>
      <rPr>
        <b/>
        <sz val="14"/>
        <rFont val="Times New Roman"/>
        <charset val="134"/>
      </rPr>
      <t xml:space="preserve">يكتب تاريخ و ساعة  كتابة كافة مدخلات السجل الطبي </t>
    </r>
  </si>
  <si>
    <r>
      <rPr>
        <b/>
        <sz val="14"/>
        <rFont val="Times New Roman"/>
        <charset val="134"/>
      </rPr>
      <t>تحديد القائم بكتابة مدخلات السجل الطبي بذكر إسمه الثلاثى له بوضوح ( ممنوع الفورمة و الكلاشيه لا يغنى عن التوقيع).</t>
    </r>
  </si>
  <si>
    <r>
      <rPr>
        <b/>
        <sz val="14"/>
        <rFont val="Times New Roman"/>
        <charset val="134"/>
      </rPr>
      <t xml:space="preserve">يلتزم الفريق الطبي بتسجيل العلاج والتعليمات في المكان المحدد لذلك </t>
    </r>
  </si>
  <si>
    <r>
      <rPr>
        <b/>
        <sz val="14"/>
        <rFont val="Times New Roman"/>
        <charset val="134"/>
      </rPr>
      <t>كل  صفحة من السجل الطبى تحتوى على إسم المريض الرباعى و الرقم الطبى الموحد.</t>
    </r>
  </si>
  <si>
    <r>
      <rPr>
        <b/>
        <sz val="14"/>
        <rFont val="Times New Roman"/>
        <charset val="134"/>
      </rPr>
      <t xml:space="preserve">كافة مدخلات السجل الطبي واضحة و مقروءة و بدون كشط و بدون إستخدام corrector . </t>
    </r>
  </si>
  <si>
    <r>
      <rPr>
        <b/>
        <sz val="14"/>
        <rFont val="Times New Roman"/>
        <charset val="134"/>
      </rPr>
      <t xml:space="preserve">يحتوى كل ملف طبى على النماذج الأساسية  الآتية على الأقل:
 نموذج البيانات الديموجرافية للمريض 
 نموذج الموافقة على دخول المستشفى / ممتلكات المريض / حقوق و واجبات المريض.
 نموذج افحص الشامل و التاريخ المرضى
 خطة الرعاية الطبية 
 أوامر الطبيب 
 ملاحظات الطبيب لتقدم الحالة
 نموذج الإستشارة
 نموذج وصف / تنفيذ  العلاج
 التقييمات التمريضة ( المبدئى – السقوط – الجلد – التغذوى- الألم - ......)
 خطة العناية التمريضية
 قياس العلامات الحيوية
 الملاحظات التمريضية 
 تسليم و تسلم الحالات ( أطباء - مريض)
 التثقيف الصحى للمريض ( أطباء – تمريض).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ملخص الخروج
 نموذج الإبلاغ عن الأحداث الغير متوقعة OVR</t>
    </r>
  </si>
  <si>
    <t>السجلات :</t>
  </si>
  <si>
    <r>
      <rPr>
        <b/>
        <sz val="14"/>
        <rFont val="Times New Roman"/>
        <charset val="134"/>
      </rPr>
      <t xml:space="preserve">توافر السجلات الآتية على الأقل 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توافر السجلات التمريضية
 سجل التدريب.</t>
    </r>
  </si>
  <si>
    <r>
      <rPr>
        <b/>
        <sz val="14"/>
        <rFont val="Times New Roman"/>
        <charset val="134"/>
      </rPr>
      <t>يتم التسجيل بجميع السجلات بطريقة صحيحة و واضحة و بدقة.</t>
    </r>
  </si>
  <si>
    <t>اٌلإقرارات:</t>
  </si>
  <si>
    <r>
      <rPr>
        <b/>
        <sz val="14"/>
        <rFont val="Times New Roman"/>
        <charset val="134"/>
      </rPr>
      <t xml:space="preserve">جميع الإقرارات الطبية بالملف الطبى متوفرة: ( على الأقل)
 نموذج إقرار الموافقة على دخول مستشفى 
 الموافقة على إجراءعملية  جراحية
 الموافقة على إجراء عالى الخطورة
 الموافقة على التخدير
 الموافقة على نقل دم 
 إقرار بالإصابة بقرح الفراش 
 إقرار رفض العلاج / رفض إجراء تداخلى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الموافقة على إجراء غسيل كلوى</t>
    </r>
  </si>
  <si>
    <r>
      <rPr>
        <b/>
        <sz val="14"/>
        <rFont val="Times New Roman"/>
        <charset val="134"/>
      </rPr>
      <t>يتم التسجيل بجميع الإقرارات الطبية بالملف الطبى بدقة</t>
    </r>
  </si>
  <si>
    <t>وحدة العناية المركزة:</t>
  </si>
  <si>
    <t>البنية التحتية بوحدة العناية المركزة: لابد أن تتوافر الشروط الآتية في وحدات الرعاية المركزة:</t>
  </si>
  <si>
    <r>
      <rPr>
        <b/>
        <sz val="14"/>
        <rFont val="Times New Roman"/>
        <charset val="134"/>
      </rPr>
      <t> يتوافر الإتصال السهل بأقسام الطوارئ و العمليات و المعامل و الأشعة</t>
    </r>
  </si>
  <si>
    <r>
      <rPr>
        <b/>
        <sz val="14"/>
        <rFont val="Times New Roman"/>
        <charset val="134"/>
      </rPr>
      <t> المسافة بين كل سرير من 5, 2- 3 متر</t>
    </r>
  </si>
  <si>
    <r>
      <rPr>
        <b/>
        <sz val="14"/>
        <rFont val="Times New Roman"/>
        <charset val="134"/>
      </rPr>
      <t> الأرضيات مغطاة بمادة سهلة التنظيف و مانعة للانزلاق و مانعة لتكوين الشحنات الكهربية الاستاتيكية</t>
    </r>
  </si>
  <si>
    <r>
      <rPr>
        <b/>
        <sz val="14"/>
        <rFont val="Times New Roman"/>
        <charset val="134"/>
      </rPr>
      <t> الحوائط مغطاة بمادة سهلة الغسل و الزوايا بين الحوائط و بعضها و بين الحوائط و الأرضيات زوايا غير حادة</t>
    </r>
  </si>
  <si>
    <r>
      <rPr>
        <b/>
        <sz val="14"/>
        <rFont val="Times New Roman"/>
        <charset val="134"/>
      </rPr>
      <t xml:space="preserve"> وجود مصدر للتهوية (تكيف مركزي  ، أو تكيف حائط) </t>
    </r>
  </si>
  <si>
    <r>
      <rPr>
        <b/>
        <sz val="14"/>
        <rFont val="Times New Roman"/>
        <charset val="134"/>
      </rPr>
      <t xml:space="preserve"> النوافذ مغلقة دائماً </t>
    </r>
  </si>
  <si>
    <r>
      <rPr>
        <b/>
        <sz val="14"/>
        <rFont val="Times New Roman"/>
        <charset val="134"/>
      </rPr>
      <t> يتوافر نظام نداء للممرضات لكل سرير و دورات المياه</t>
    </r>
  </si>
  <si>
    <r>
      <rPr>
        <b/>
        <sz val="14"/>
        <rFont val="Times New Roman"/>
        <charset val="134"/>
      </rPr>
      <t> تخصص غرفة لعزل المرضي</t>
    </r>
  </si>
  <si>
    <r>
      <rPr>
        <b/>
        <sz val="14"/>
        <rFont val="Times New Roman"/>
        <charset val="134"/>
      </rPr>
      <t xml:space="preserve"> يوجد معمل رعاية متوفر 24 ساعة ( أو يوجد معمل قريب يفي بالغرض ) </t>
    </r>
  </si>
  <si>
    <r>
      <rPr>
        <b/>
        <sz val="14"/>
        <rFont val="Times New Roman"/>
        <charset val="134"/>
      </rPr>
      <t> يتوافر مخزن للأدوية و المستلزمات الطبية</t>
    </r>
  </si>
  <si>
    <r>
      <rPr>
        <b/>
        <sz val="14"/>
        <rFont val="Times New Roman"/>
        <charset val="134"/>
      </rPr>
      <t> توفير مكان للعاملين مخصص لتغيير الملابس ملحق به دورة مياه</t>
    </r>
  </si>
  <si>
    <r>
      <rPr>
        <b/>
        <sz val="14"/>
        <rFont val="Times New Roman"/>
        <charset val="134"/>
      </rPr>
      <t> توافر مكان مخزن نظيف و مخزن غير نظيف</t>
    </r>
  </si>
  <si>
    <r>
      <rPr>
        <b/>
        <sz val="14"/>
        <rFont val="Times New Roman"/>
        <charset val="134"/>
      </rPr>
      <t> أماكن انتظار الزوار خارج الوحدة</t>
    </r>
  </si>
  <si>
    <r>
      <rPr>
        <b/>
        <sz val="14"/>
        <rFont val="Times New Roman"/>
        <charset val="134"/>
      </rPr>
      <t xml:space="preserve"> دورات المياه خارج قاعات المرضى </t>
    </r>
  </si>
  <si>
    <t>التجهيزات الخاصة بوحدة العناية المركزة: لابد أن تتوافر التجهيزات الآتية:</t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</si>
  <si>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مونيتور                      </t>
    </r>
  </si>
  <si>
    <r>
      <rPr>
        <b/>
        <sz val="14"/>
        <rFont val="Times New Roman"/>
        <charset val="134"/>
      </rPr>
      <t xml:space="preserve"> جهاز مونيتور لمراقبة أكثر من مونيتور في وقت واحد central   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</si>
  <si>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جهاز تحكم في إعطاء المحاليل              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</si>
  <si>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جهاز حقن كهربائى بالوريد بالنقط           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</si>
  <si>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جهاز شفاط كهربى                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</si>
  <si>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جهاز استنشاق أو ( فلوميتر على الشبكة  )              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</si>
  <si>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جهاز تنفس صناعي 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</si>
  <si>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أجهزة علاج ارتجاف البطين مزود بجهاز تحفيز ضربات القلب 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</si>
  <si>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منظار حنجري         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</si>
  <si>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سرير عناية مركزة 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</si>
  <si>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مرتبة هوائية</t>
    </r>
  </si>
  <si>
    <t>الرعاية الطبية و التمريضية:</t>
  </si>
  <si>
    <r>
      <rPr>
        <b/>
        <sz val="14"/>
        <rFont val="Times New Roman"/>
        <charset val="134"/>
      </rPr>
      <t>يلتزم الأطباء  بتقييم جميع المرضي خلال 24 ساعة من الدخول طبقا لنموذج H&amp;P</t>
    </r>
  </si>
  <si>
    <r>
      <rPr>
        <b/>
        <sz val="14"/>
        <rFont val="Times New Roman"/>
        <charset val="134"/>
      </rPr>
      <t xml:space="preserve">يتم إجراء التقييم التمريضي  لجميع المرضي عند الدخول وخلال الشيفت </t>
    </r>
  </si>
  <si>
    <r>
      <rPr>
        <b/>
        <sz val="14"/>
        <rFont val="Times New Roman"/>
        <charset val="134"/>
      </rPr>
      <t xml:space="preserve">يقوم الطبيب بتوثيق متابعة تقدم حالة المريض مرة في اليوم للحالات الحرجة . </t>
    </r>
  </si>
  <si>
    <r>
      <rPr>
        <b/>
        <sz val="14"/>
        <rFont val="Times New Roman"/>
        <charset val="134"/>
      </rPr>
      <t xml:space="preserve">تلتزم الممرضة بتقييم الألم لجميع المرضي عند الدخول طبقا لنموذج تقييم الألم . </t>
    </r>
  </si>
  <si>
    <r>
      <rPr>
        <b/>
        <sz val="14"/>
        <rFont val="Times New Roman"/>
        <charset val="134"/>
      </rPr>
      <t xml:space="preserve">تلتزم الممرضة بتقييم الحالة التغذوية لكل مريض وتوثيق نوع الغذاء بالملف </t>
    </r>
  </si>
  <si>
    <r>
      <rPr>
        <b/>
        <sz val="14"/>
        <rFont val="Times New Roman"/>
        <charset val="134"/>
      </rPr>
      <t>يلتزم الفريق الطبى ( طبيب – ممرضة) بتوثيق خطة الرعاية لكل مريض في الملف الطبي الخاص به</t>
    </r>
  </si>
  <si>
    <r>
      <rPr>
        <b/>
        <sz val="14"/>
        <rFont val="Times New Roman"/>
        <charset val="134"/>
      </rPr>
      <t>بروتوكول التعامل مع إجراءات الرعایة الحرجة مثل: الشق الحنجري وإدخال أنبوب مرن إلى القصبة الھوائیة وضعیة الانبطاح خلال التنفس الصناعى وفحص الھذیان( طبيب)</t>
    </r>
  </si>
  <si>
    <r>
      <rPr>
        <b/>
        <sz val="14"/>
        <rFont val="Times New Roman"/>
        <charset val="134"/>
      </rPr>
      <t>يوجد نموذج لأوامر تقييد المريض</t>
    </r>
  </si>
  <si>
    <r>
      <rPr>
        <b/>
        <sz val="14"/>
        <rFont val="Times New Roman"/>
        <charset val="134"/>
      </rPr>
      <t>يلتزم الطبيب  تجديد أوامر التقييد التي تتم لأسباب طبية وجراحية كل 24 ساعة عند  إستمرارالإحتياج.</t>
    </r>
  </si>
  <si>
    <r>
      <rPr>
        <b/>
        <sz val="14"/>
        <rFont val="Times New Roman"/>
        <charset val="134"/>
      </rPr>
      <t>يتم حماية حقوق المريض وكرامته وسلامته خلال إستخدام التقييد( طبيب - تمريض)</t>
    </r>
  </si>
  <si>
    <r>
      <rPr>
        <b/>
        <sz val="14"/>
        <rFont val="Times New Roman"/>
        <charset val="134"/>
      </rPr>
      <t>تلتزم الممرضة  بمتابعة المريض المقيد وإعادة التقييم خلال الإستخدام.</t>
    </r>
  </si>
  <si>
    <t>السجلات:</t>
  </si>
  <si>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الأوامر الشفهية و التليفونية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النتائج الحرجة
 سجل تسليم و تسلم الحالات من و إلى الأقسام.
 سجل و نماذج إحالة
 سجل الأعطال
 سجل الصيانة الدورية
 سجل متابعة الإنذارات الحرجة
 سجل بالقسم لتسليم النفايات
 سجل تسليم و تسلم المفروشات النظيفة و غير النظيفة.</t>
    </r>
  </si>
  <si>
    <t>قسم الإستقبال و الطوارئ:</t>
  </si>
  <si>
    <t>البنية التحتية بالإستقبال و الطوارئ: لابد أن تتوافر الشروط الآتية :</t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</si>
  <si>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يسهل الوصول إليه بسيارة الإسعاف أو  مترجلاً.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</si>
  <si>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  وجود لوحات إرشادية داخل و خارج المستشفى توضح إتجاه قسم الطوارئ.</t>
    </r>
  </si>
  <si>
    <r>
      <rPr>
        <b/>
        <sz val="14"/>
        <rFont val="Times New Roman"/>
        <charset val="134"/>
      </rPr>
      <t>  يوجد منحدرات علي جميع المداخل</t>
    </r>
  </si>
  <si>
    <r>
      <rPr>
        <b/>
        <sz val="14"/>
        <rFont val="Times New Roman"/>
        <charset val="134"/>
      </rPr>
      <t> يوجد مكان إنتظار للمرضي و ذويهم  ملحق بها دورات مياه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</si>
  <si>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يوجد مخزن نظيف و غرفة تجميع المواد و المهمات غير النظيفة 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</si>
  <si>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 يوجد غرفة أدوات النظافة 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</si>
  <si>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 يوجدمكان مخصص لحفظ المستلزمات و الاجهزة الطبية</t>
    </r>
  </si>
  <si>
    <r>
      <rPr>
        <b/>
        <sz val="14"/>
        <rFont val="Times New Roman"/>
        <charset val="134"/>
      </rPr>
      <t> الخدمات المساعدة توجد في مكان قريب من الطوارئ و يسهل الوصول إليها ( أشعة , معمل)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</si>
  <si>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 وجود مكان مخصص لتسجيل المرضى ( غرفة الكاتب) .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</si>
  <si>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 وجود محطة تمريضية .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</si>
  <si>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 وجود مكان مخصص لفرز و تصنيف المرضى .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</si>
  <si>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وجود مكان مخصص للفحص الطبي ( غرف الكشف) .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</si>
  <si>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وجود مكان لإعطاء العلاج.</t>
    </r>
  </si>
  <si>
    <r>
      <rPr>
        <b/>
        <sz val="14"/>
        <rFont val="Times New Roman"/>
        <charset val="134"/>
      </rPr>
      <t xml:space="preserve"> وجود مكان للتداخلات الجراحية البسيطة  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</si>
  <si>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   وجود مكان مخصص للملاحظة ( رجال – حريم) .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</si>
  <si>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 وجود مكان مخصص للجبس.</t>
    </r>
  </si>
  <si>
    <t xml:space="preserve">التجهيزات بالطوارئ: </t>
  </si>
  <si>
    <r>
      <rPr>
        <b/>
        <sz val="14"/>
        <rFont val="Times New Roman"/>
        <charset val="134"/>
      </rPr>
      <t xml:space="preserve">يجب أن تكون التجهيزات التالية متاحة فى مكان قريب ( فى متناول اليد):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جهاز رسم قلب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جهاز موجات فوق صوتية
 جهاز أشعة متنقل</t>
    </r>
  </si>
  <si>
    <r>
      <rPr>
        <b/>
        <sz val="14"/>
        <rFont val="Times New Roman"/>
        <charset val="134"/>
      </rPr>
      <t xml:space="preserve">التجهيزات مكان فرز و تصنيف المرضى 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	أجهزة ضغط و سماعات طبيب.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	ترمومتر.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	لمبة كشف .
 	تروللى نقل مريض .</t>
    </r>
  </si>
  <si>
    <r>
      <rPr>
        <b/>
        <sz val="14"/>
        <rFont val="Times New Roman"/>
        <charset val="134"/>
      </rPr>
      <t> سياسة فرز و تصنيف المرضى مطبقة</t>
    </r>
  </si>
  <si>
    <r>
      <rPr>
        <b/>
        <sz val="14"/>
        <rFont val="Times New Roman"/>
        <charset val="134"/>
      </rPr>
      <t xml:space="preserve">تتوافر التجهيزات الأتية بغرفة الكشف للبالغين/ الأطفال 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سرير مريض .                                               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لمبة كشف  .                                     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ميزان لوزن شخص 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منظار أذن , منظار شرجى, منظار فحص عين.
 دولاب لحفظ الآلات والأدوية و المستلزمات ( مؤمن).</t>
    </r>
  </si>
  <si>
    <r>
      <rPr>
        <b/>
        <sz val="14"/>
        <rFont val="Times New Roman"/>
        <charset val="134"/>
      </rPr>
      <t xml:space="preserve">تتوافر الأجهزة و التجهيزات الآتية بغرفة الملاحظة 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أجهزة ضغط و سماعات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لمبة كشف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ميزان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جهاز قياس نسبة السكر فى الدم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جهاز إستنشاق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فانوس أشعة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وحدة رأس المريض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منظار اذن, منظار فحص عين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حامل محاليل</t>
    </r>
  </si>
  <si>
    <r>
      <rPr>
        <b/>
        <sz val="14"/>
        <rFont val="Times New Roman"/>
        <charset val="134"/>
      </rPr>
      <t xml:space="preserve">يجب أن تتوافر التجهيزات التالية بغرفة اعطاء العلاج والتدخلات الجراحية البسيطة: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سرير كشف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عربة غيار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لمبة كشف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مخارج غازات (أكسجين- شفط)
 تروللى نقل مريض.</t>
    </r>
  </si>
  <si>
    <r>
      <rPr>
        <b/>
        <sz val="14"/>
        <rFont val="Times New Roman"/>
        <charset val="134"/>
      </rPr>
      <t xml:space="preserve">يجب أن تتوافرالأجهزة  التالية بغرفة إنعاش الطوارئ: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تروللى للإنعاش القلبى التنفسى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أدوات تركيب ممر هوائى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جهاز صدمات مزود بشاشة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جهاز إستعادة إنتظام ضربات القلب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منظار حنجرى        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جهاز إستنشاق أو ( فلوميتر على الشبكة  )             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جهاز مونيتور 
 عربة الطوارئ ( ترتيبها و مستلزماتها طبقاً لتعليمات الرعاية العاجلة)</t>
    </r>
  </si>
  <si>
    <r>
      <rPr>
        <b/>
        <sz val="14"/>
        <rFont val="Times New Roman"/>
        <charset val="134"/>
      </rPr>
      <t xml:space="preserve">تتوافر هذه التجهيزات بغرفة التجبيس (العظام):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منشار جبس                                                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صينية جبس                                              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فانوس اشعة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مخارج للغازات الطبية (أكسجين – شفط)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ترابيزة وضع الجبس                             
 شاكوش لتنبيه الأعصاب                               </t>
    </r>
  </si>
  <si>
    <r>
      <rPr>
        <b/>
        <sz val="14"/>
        <rFont val="Times New Roman"/>
        <charset val="134"/>
      </rPr>
      <t>تتوافر أماكن تخزين لحفظ الجبس و المستلزمات و الأدوية</t>
    </r>
  </si>
  <si>
    <r>
      <rPr>
        <b/>
        <sz val="14"/>
        <rFont val="Times New Roman"/>
        <charset val="134"/>
      </rPr>
      <t>جميع التجهيزات بالطوارئ سليمة</t>
    </r>
  </si>
  <si>
    <r>
      <rPr>
        <b/>
        <sz val="14"/>
        <rFont val="Times New Roman"/>
        <charset val="134"/>
      </rPr>
      <t>يوجد دولاب الأزمات و الكوارث.</t>
    </r>
  </si>
  <si>
    <t>السجلات بالطوارئ :</t>
  </si>
  <si>
    <r>
      <rPr>
        <b/>
        <sz val="14"/>
        <rFont val="Times New Roman"/>
        <charset val="134"/>
      </rPr>
      <t xml:space="preserve">تتوافرالسجلات الآتية بالطوارئ على الأقل :
</t>
    </r>
    <r>
      <rPr>
        <b/>
        <sz val="14"/>
        <rFont val="Wingdings"/>
        <charset val="2"/>
      </rPr>
      <t></t>
    </r>
    <r>
      <rPr>
        <b/>
        <sz val="14"/>
        <rFont val="Arial"/>
        <charset val="134"/>
      </rPr>
      <t xml:space="preserve"> سجل الطوارئ يجب أن يوضح البيانات الآتية على الأقل</t>
    </r>
    <r>
      <rPr>
        <b/>
        <sz val="14"/>
        <rFont val="Times New Roman"/>
        <charset val="134"/>
      </rPr>
      <t xml:space="preserve">: وقت الوصول ووقت الخروج وحالة المريض عند الخروج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كاتب الإستقبال و الطوارئ
 سجل فرز و تصنيف المرضى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توافر السجلات التمريضية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النتائج الحرجة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الأوامر الشفهية و التليفونية
 سجل و نماذج إحالة
 سجل الأعطال
 سجل الصيانة الدورية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متابعة الإنذارات الحرجة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CPR
 سجل مجهولى الهوية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لتسليم النفايات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بالقسم لتسليم الملاءات والمفروشات الغير نظيفة
 سجل تسليم الحالات للأقسام.</t>
    </r>
  </si>
  <si>
    <r>
      <rPr>
        <b/>
        <sz val="14"/>
        <rFont val="Times New Roman"/>
        <charset val="134"/>
      </rPr>
      <t>توافر إسطوانات الأكسجين مؤمنة مع توافر أكثر من مصدر أكسجين</t>
    </r>
  </si>
  <si>
    <r>
      <rPr>
        <b/>
        <sz val="14"/>
        <rFont val="Times New Roman"/>
        <charset val="134"/>
      </rPr>
      <t xml:space="preserve">إسطوانات الأكسجين مدون عليها تاريخ الملء و تاريخ بداية التشغيل </t>
    </r>
  </si>
  <si>
    <r>
      <rPr>
        <b/>
        <sz val="14"/>
        <rFont val="Times New Roman"/>
        <charset val="134"/>
      </rPr>
      <t>يتم التأكد من إمتلاء إسطوانات الأكسجين مع التوثيق</t>
    </r>
  </si>
  <si>
    <r>
      <rPr>
        <b/>
        <sz val="14"/>
        <rFont val="Times New Roman"/>
        <charset val="134"/>
      </rPr>
      <t>سياسة الإستجابة للطوارئ الطبية في المستشفى  البالغين والأطفال</t>
    </r>
    <r>
      <rPr>
        <b/>
        <sz val="14"/>
        <rFont val="Traditional Arabic"/>
        <charset val="134"/>
      </rPr>
      <t xml:space="preserve"> </t>
    </r>
    <r>
      <rPr>
        <b/>
        <sz val="14"/>
        <rFont val="Times New Roman"/>
        <charset val="134"/>
      </rPr>
      <t>CPR))</t>
    </r>
    <r>
      <rPr>
        <b/>
        <sz val="14"/>
        <rFont val="Traditional Arabic"/>
        <charset val="134"/>
      </rPr>
      <t xml:space="preserve">  </t>
    </r>
  </si>
  <si>
    <r>
      <rPr>
        <b/>
        <sz val="14"/>
        <rFont val="Times New Roman"/>
        <charset val="134"/>
      </rPr>
      <t>التمريض بالطوارئ مدرب على الإنعاش القلبى الرئوى الأساسى</t>
    </r>
  </si>
  <si>
    <r>
      <rPr>
        <b/>
        <sz val="14"/>
        <rFont val="Times New Roman"/>
        <charset val="134"/>
      </rPr>
      <t>الأطباء مدربون على الإنعاش القلبى الرئوى المتقدم ( خاصة أطباء الطوارئ, العناية المركزة- الكلى – التخدير- المبتسرين)</t>
    </r>
  </si>
  <si>
    <t>أدلة العمل الإكلينيكية بالطوارئ:</t>
  </si>
  <si>
    <r>
      <rPr>
        <b/>
        <sz val="14"/>
        <rFont val="Times New Roman"/>
        <charset val="134"/>
      </rPr>
      <t>يوجد أدلة عمل إكلينيكية للطوارئ توضح كيفيةالتعامل مع الحالات الآتية :</t>
    </r>
    <r>
      <rPr>
        <b/>
        <sz val="14"/>
        <rFont val="Traditional Arabic"/>
        <charset val="134"/>
      </rPr>
      <t xml:space="preserve">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حالات</t>
    </r>
    <r>
      <rPr>
        <b/>
        <sz val="14"/>
        <rFont val="Traditional Arabic"/>
        <charset val="134"/>
      </rPr>
      <t xml:space="preserve"> </t>
    </r>
    <r>
      <rPr>
        <b/>
        <sz val="14"/>
        <rFont val="Times New Roman"/>
        <charset val="134"/>
      </rPr>
      <t xml:space="preserve">طوارئ آلام الصدر وعلاجها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حالات طوارئ الصدمات وعلاجها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حالات طوارئ الرضوض المتعددة وعلاجها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حالات طوارئ غياب الوعي على اختلاف مستوياته وعلاجها
</t>
    </r>
    <r>
      <rPr>
        <b/>
        <sz val="14"/>
        <rFont val="Traditional Arabic"/>
        <charset val="134"/>
      </rPr>
      <t></t>
    </r>
    <r>
      <rPr>
        <b/>
        <sz val="14"/>
        <rFont val="Times New Roman"/>
        <charset val="134"/>
      </rPr>
      <t xml:space="preserve"> حالات الولادة المتعسرة.</t>
    </r>
  </si>
  <si>
    <t>غرفة العقر:</t>
  </si>
  <si>
    <r>
      <rPr>
        <b/>
        <sz val="14"/>
        <color rgb="FF001D35"/>
        <rFont val="Times New Roman"/>
        <charset val="134"/>
      </rPr>
      <t>الغرفة بعيدة عن الضوضاء والإزعاج.</t>
    </r>
  </si>
  <si>
    <r>
      <rPr>
        <b/>
        <sz val="14"/>
        <color rgb="FF001D35"/>
        <rFont val="Times New Roman"/>
        <charset val="134"/>
      </rPr>
      <t>الغرفة جيدة التهوية والإضاءة.</t>
    </r>
  </si>
  <si>
    <r>
      <rPr>
        <b/>
        <sz val="14"/>
        <color rgb="FF001D35"/>
        <rFont val="Times New Roman"/>
        <charset val="134"/>
      </rPr>
      <t>الأرضيات والجدران سهلة التنظيف والتعقيم.</t>
    </r>
  </si>
  <si>
    <r>
      <rPr>
        <b/>
        <sz val="14"/>
        <color rgb="FF001D35"/>
        <rFont val="Times New Roman"/>
        <charset val="134"/>
      </rPr>
      <t xml:space="preserve">الغرفة مزودة بحوض غسل الأيدى و المستلزمات متوفرة. </t>
    </r>
  </si>
  <si>
    <r>
      <rPr>
        <b/>
        <sz val="14"/>
        <color rgb="FF001D35"/>
        <rFont val="Times New Roman"/>
        <charset val="134"/>
      </rPr>
      <t>العاملون مدربين على التعامل مع اللقاحات والحالات الطارئة.</t>
    </r>
  </si>
  <si>
    <r>
      <rPr>
        <b/>
        <sz val="14"/>
        <color rgb="FF001D35"/>
        <rFont val="Times New Roman"/>
        <charset val="134"/>
      </rPr>
      <t>توجد ثلاجة لحفظ اللقاح / المصل.</t>
    </r>
  </si>
  <si>
    <r>
      <rPr>
        <b/>
        <sz val="14"/>
        <color rgb="FF001D35"/>
        <rFont val="Times New Roman"/>
        <charset val="134"/>
      </rPr>
      <t>توجد قائمة بمحتويات الثلاجة.</t>
    </r>
  </si>
  <si>
    <r>
      <rPr>
        <b/>
        <sz val="14"/>
        <color rgb="FF001D35"/>
        <rFont val="Times New Roman"/>
        <charset val="134"/>
      </rPr>
      <t>قائمة لتسجيل درجة حرارة الثلاجة.</t>
    </r>
  </si>
  <si>
    <r>
      <rPr>
        <b/>
        <sz val="14"/>
        <color rgb="FF001D35"/>
        <rFont val="Times New Roman"/>
        <charset val="134"/>
      </rPr>
      <t>توافر أدوية الطوارئ مثل الأدرينالين ومضادات الهيستامين للتعامل مع أي تفاعلات تحسسية.</t>
    </r>
  </si>
  <si>
    <r>
      <rPr>
        <b/>
        <sz val="14"/>
        <color rgb="FF001D35"/>
        <rFont val="Times New Roman"/>
        <charset val="134"/>
      </rPr>
      <t>مراعاة الخصوصية للمريض أثناء تلقي المصل.</t>
    </r>
  </si>
  <si>
    <r>
      <rPr>
        <b/>
        <sz val="14"/>
        <color rgb="FF001D35"/>
        <rFont val="Times New Roman"/>
        <charset val="134"/>
      </rPr>
      <t>سجل لتسجيل بيانات المرضى وجدول التطعيم.</t>
    </r>
  </si>
  <si>
    <r>
      <rPr>
        <b/>
        <sz val="14"/>
        <color rgb="FF001D35"/>
        <rFont val="Times New Roman"/>
        <charset val="134"/>
      </rPr>
      <t>الإلتزام بالواقيات الشخصية.</t>
    </r>
  </si>
  <si>
    <r>
      <rPr>
        <b/>
        <sz val="14"/>
        <color rgb="FF001D35"/>
        <rFont val="Times New Roman"/>
        <charset val="134"/>
      </rPr>
      <t>فصل النفايات يتم بطريقة صحيحة.</t>
    </r>
  </si>
  <si>
    <r>
      <rPr>
        <b/>
        <sz val="14"/>
        <color rgb="FF001D35"/>
        <rFont val="Times New Roman"/>
        <charset val="134"/>
      </rPr>
      <t>سياسة الوخز مفعلة و العاملين مدربين عليها.</t>
    </r>
  </si>
  <si>
    <r>
      <rPr>
        <b/>
        <sz val="14"/>
        <color rgb="FF001D35"/>
        <rFont val="Times New Roman"/>
        <charset val="134"/>
      </rPr>
      <t>يوجد كارت متابعة بمواعيد الجرعات.</t>
    </r>
  </si>
  <si>
    <t>قسم العمليات:</t>
  </si>
  <si>
    <t>البنية التحتية بالعمليات : لابد أن تتوافر الشروط الآتية :</t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</si>
  <si>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يقسم جناح العمليات إلى ثلاث مناطق مع  وجود خطوط ( علامات )  تحدد مستوي التعقيم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غير محظورة مثل إستلام المرضى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شبه محظورة: مثل مكان حفظ المعدات و التجهيزات – إستراحة الأطباء
 المحظورة: المنطقة التى يسمح بها للأشخاص العاملين بغرفة العمليات فقط.</t>
    </r>
  </si>
  <si>
    <r>
      <rPr>
        <b/>
        <sz val="14"/>
        <rFont val="Times New Roman"/>
        <charset val="134"/>
      </rPr>
      <t xml:space="preserve"> يوجد مكان لإستلام المريض </t>
    </r>
  </si>
  <si>
    <r>
      <rPr>
        <b/>
        <sz val="14"/>
        <rFont val="Times New Roman"/>
        <charset val="134"/>
      </rPr>
      <t xml:space="preserve"> يوجد مكان مخصص لإنتظار المرضي مزود بستائر للحفاظ علي خصوصية المرضي </t>
    </r>
  </si>
  <si>
    <r>
      <rPr>
        <b/>
        <sz val="14"/>
        <rFont val="Times New Roman"/>
        <charset val="134"/>
      </rPr>
      <t> يوجد مخزن للمستلزمات الطبية والجراحية</t>
    </r>
  </si>
  <si>
    <r>
      <rPr>
        <b/>
        <sz val="14"/>
        <rFont val="Times New Roman"/>
        <charset val="134"/>
      </rPr>
      <t> يوجد مخزن الأدوات المعقمة</t>
    </r>
  </si>
  <si>
    <r>
      <rPr>
        <b/>
        <sz val="14"/>
        <rFont val="Times New Roman"/>
        <charset val="134"/>
      </rPr>
      <t> يوجد منطقة غسل وتطهير الأيدي الجراحى</t>
    </r>
  </si>
  <si>
    <r>
      <rPr>
        <b/>
        <sz val="14"/>
        <rFont val="Times New Roman"/>
        <charset val="134"/>
      </rPr>
      <t> يوجد مكان لتخزين الأجهزة الطبية</t>
    </r>
  </si>
  <si>
    <r>
      <rPr>
        <b/>
        <sz val="14"/>
        <rFont val="Times New Roman"/>
        <charset val="134"/>
      </rPr>
      <t> يوجد غرف لتغيير الملابس و غسيل الأيدي للأطباء و هيئة التمريض والحمامات الملحقة بها</t>
    </r>
  </si>
  <si>
    <r>
      <rPr>
        <b/>
        <sz val="14"/>
        <rFont val="Times New Roman"/>
        <charset val="134"/>
      </rPr>
      <t> يوجد مكان إستراحة العاملين من أطباء و تمريض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</si>
  <si>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مطابقة المواصفات القياسية لجناح العمليات: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مساحة الحجرة التي تجري بها العمليات الخاصة ( مثل عظام – مسالك- قلب مفتوح – مخ و أعصاب ) 50 متر مربع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مساحة الحجرة التي تجري بها العمليات العادية 30 متر مربع
   إرتفاع السقف 2.8 متر.</t>
    </r>
  </si>
  <si>
    <r>
      <rPr>
        <b/>
        <sz val="14"/>
        <rFont val="Times New Roman"/>
        <charset val="134"/>
      </rPr>
      <t> الغرفة موجبة الضغط مع مراعاة أن يكون تدفق الهواء Laminar flow  في إتجاه واحد ( توفير فتحات علوية لدخول الهواء و فتحات سفلية لخروجه).</t>
    </r>
  </si>
  <si>
    <r>
      <rPr>
        <b/>
        <sz val="14"/>
        <rFont val="Times New Roman"/>
        <charset val="134"/>
      </rPr>
      <t> الأرض و الحوائط تكون ملساء و من مادة مضادة للبكتريا و Antistatic</t>
    </r>
  </si>
  <si>
    <r>
      <rPr>
        <b/>
        <sz val="14"/>
        <rFont val="Times New Roman"/>
        <charset val="134"/>
      </rPr>
      <t> الزوايا بين الارضيات والحوائط وبين الحوائط وبعضها مستديرة (زوايا غير حادة)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</si>
  <si>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الأبواب والنوافذ جيدة الصنع و محكمة ، الزجاج سليم </t>
    </r>
  </si>
  <si>
    <r>
      <rPr>
        <b/>
        <sz val="14"/>
        <rFont val="Times New Roman"/>
        <charset val="134"/>
      </rPr>
      <t> وجود تكييف مركزي مزود بالمرشحات فائقة القدرة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</si>
  <si>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الحجرة مزودة بضوء صناعي إضافي كاف فوق منضدة العمليات (كشاف عمليات مثبت بالسقف )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</si>
  <si>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وجود أجهزة إضاءة احتياطية في حالة انقطاع التيار الكهربائي (كشاف عمليات متحرك به بطارية)</t>
    </r>
  </si>
  <si>
    <t xml:space="preserve">التجهيزات بالعمليات : </t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</si>
  <si>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 جهاز تخدير و مزود بجهاز تنفس صناعي </t>
    </r>
  </si>
  <si>
    <r>
      <rPr>
        <b/>
        <sz val="14"/>
        <rFont val="Times New Roman"/>
        <charset val="134"/>
      </rPr>
      <t xml:space="preserve">   وجود أمبوباج     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</si>
  <si>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  اسطوانات الأكسجين و أجهزة إعطائه مع توافر أكثر من مصدر أوكسجين </t>
    </r>
  </si>
  <si>
    <r>
      <rPr>
        <b/>
        <sz val="14"/>
        <rFont val="Times New Roman"/>
        <charset val="134"/>
      </rPr>
      <t xml:space="preserve">   جهاز مونيتور شامل لقياس ضغط CO2 في هواء الزفير و نسبة  O2بالدم  </t>
    </r>
  </si>
  <si>
    <r>
      <rPr>
        <b/>
        <sz val="14"/>
        <rFont val="Times New Roman"/>
        <charset val="134"/>
      </rPr>
      <t xml:space="preserve"> جهاز لقياس ضغط الدم غير الإختراقي بصفة منتظمة كل خمس دقائق   </t>
    </r>
  </si>
  <si>
    <r>
      <rPr>
        <b/>
        <sz val="14"/>
        <rFont val="Times New Roman"/>
        <charset val="134"/>
      </rPr>
      <t xml:space="preserve">  جهاز علاج ارتجاف البطين علي شاشة مونيتور  </t>
    </r>
  </si>
  <si>
    <r>
      <rPr>
        <b/>
        <sz val="14"/>
        <rFont val="Times New Roman"/>
        <charset val="134"/>
      </rPr>
      <t xml:space="preserve"> جهاز كي و قطع             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</si>
  <si>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جهاز شفاط كهربى      </t>
    </r>
  </si>
  <si>
    <r>
      <rPr>
        <b/>
        <sz val="14"/>
        <rFont val="Times New Roman"/>
        <charset val="134"/>
      </rPr>
      <t xml:space="preserve"> منظار حنجري      </t>
    </r>
  </si>
  <si>
    <r>
      <rPr>
        <b/>
        <sz val="14"/>
        <rFont val="Times New Roman"/>
        <charset val="134"/>
      </rPr>
      <t xml:space="preserve"> تروللى نقل مريض  </t>
    </r>
  </si>
  <si>
    <r>
      <rPr>
        <b/>
        <sz val="14"/>
        <rFont val="Times New Roman"/>
        <charset val="134"/>
      </rPr>
      <t xml:space="preserve"> وحدة تعقيم الأيدي     </t>
    </r>
  </si>
  <si>
    <r>
      <rPr>
        <b/>
        <sz val="14"/>
        <rFont val="Times New Roman"/>
        <charset val="134"/>
      </rPr>
      <t> ميكرسكوب جراحي بعمليات الأنف و الأذن  ( If applicable )</t>
    </r>
  </si>
  <si>
    <r>
      <rPr>
        <b/>
        <sz val="14"/>
        <rFont val="Times New Roman"/>
        <charset val="134"/>
      </rPr>
      <t> ميكرسكوب جراحي بعمليات الرمد  ( If applicable )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</si>
  <si>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جهاز أشعة جراحه عظام   ( If applicable )</t>
    </r>
  </si>
  <si>
    <r>
      <rPr>
        <b/>
        <sz val="14"/>
        <rFont val="Times New Roman"/>
        <charset val="134"/>
      </rPr>
      <t xml:space="preserve">تتوافر هذة التجهيزات بعمليات النساء: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جهاز قياس نبض الجنين             
 مدفئ اشعاعي       </t>
    </r>
  </si>
  <si>
    <r>
      <rPr>
        <b/>
        <sz val="14"/>
        <rFont val="Times New Roman"/>
        <charset val="134"/>
      </rPr>
      <t xml:space="preserve">تتوافر هذه التجهيزات بوحدة المناظير بالاضافة الى المناظير الاساسية الموجودة بوحدة المناظير:
 ترو للي منظار  
 جهاز كي و قطع للمنظار 
 جهاز شفاط للمنظار            </t>
    </r>
  </si>
  <si>
    <r>
      <rPr>
        <b/>
        <sz val="14"/>
        <rFont val="Traditional Arabic"/>
        <charset val="134"/>
      </rPr>
      <t>يتم نقل المريض للعمليات بصحبة ممرضة القسم  مع الملف الطبي الخاص به</t>
    </r>
  </si>
  <si>
    <r>
      <rPr>
        <b/>
        <sz val="14"/>
        <rFont val="Traditional Arabic"/>
        <charset val="134"/>
      </rPr>
      <t xml:space="preserve">يتم استكمال الفحص الطبي والتاريخ المرضي للمريض قبل إجراء أي تدخل جراحي </t>
    </r>
  </si>
  <si>
    <r>
      <rPr>
        <b/>
        <sz val="14"/>
        <rFont val="Traditional Arabic"/>
        <charset val="134"/>
      </rPr>
      <t>في حالات الطوارئ يكتفي  الطبيب بتسجيل : 
 التشخيص
 خطة العلاج</t>
    </r>
  </si>
  <si>
    <r>
      <rPr>
        <b/>
        <sz val="14"/>
        <rFont val="Traditional Arabic"/>
        <charset val="134"/>
      </rPr>
      <t>ملف المريض يوضح متابعة طبيب التخدير قبل بدء العملية - أثناء - بعد  الإجراء</t>
    </r>
  </si>
  <si>
    <r>
      <rPr>
        <b/>
        <sz val="14"/>
        <rFont val="Traditional Arabic"/>
        <charset val="134"/>
      </rPr>
      <t xml:space="preserve">التأكد من وضع العلامة الجراحية أثناء إستلام المريض من القسم </t>
    </r>
  </si>
  <si>
    <r>
      <rPr>
        <b/>
        <sz val="14"/>
        <rFont val="Traditional Arabic"/>
        <charset val="134"/>
      </rPr>
      <t xml:space="preserve">الإلتزام بتطبيق نموذج الوقت المستقطع </t>
    </r>
  </si>
  <si>
    <r>
      <rPr>
        <b/>
        <sz val="14"/>
        <rFont val="Traditional Arabic"/>
        <charset val="134"/>
      </rPr>
      <t>الإلتزام بتطبيق نموذج عد الأدوات بغرفة العمليات</t>
    </r>
  </si>
  <si>
    <r>
      <rPr>
        <b/>
        <sz val="14"/>
        <rFont val="Traditional Arabic"/>
        <charset val="134"/>
      </rPr>
      <t xml:space="preserve">يوجد بالملف الطبي توثيق لتقرير العملية  </t>
    </r>
  </si>
  <si>
    <r>
      <rPr>
        <b/>
        <sz val="14"/>
        <rFont val="Traditional Arabic"/>
        <charset val="134"/>
      </rPr>
      <t xml:space="preserve">لا يتحمل طبيب التخدير العمل في أكثر من غرفة عمليات في وقت واحد </t>
    </r>
  </si>
  <si>
    <r>
      <rPr>
        <b/>
        <sz val="14"/>
        <rFont val="Traditional Arabic"/>
        <charset val="134"/>
      </rPr>
      <t>وجود جدول / لستة لعمليات اليوم  بها الإسم الثلاثى لمدير العمليات ومعتمدة من مدير المستشفى</t>
    </r>
  </si>
  <si>
    <t>السجلات بالعمليات :</t>
  </si>
  <si>
    <r>
      <rPr>
        <b/>
        <sz val="14"/>
        <rFont val="Times New Roman"/>
        <charset val="134"/>
      </rPr>
      <t xml:space="preserve">سجل العمليات يوضح فيه :
</t>
    </r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(التاريخ / إسم المريض رباعي / رقم الملف الطبي / السن / التشخيص / نوع العملية / إسم الجراح ثلاثي / إسم الطبيب المساعد ثلاثي/ إسم طبيب التخدير ثلاثى / نوع التخدير / وقت بدء التخدير / وقت إنتهاء التخدير / إسم الممرضة المعقمة ثلاثي / ساعة بدء العملية / ساعة إنتهاء العملية )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العمليات المؤجلة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العينات المستأصلة
 سجل المواليد و تسليم المواليد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توافر السجلات التمريضية
 سجل المرور اليومى ( تفقد الأجهزة)
 سجل الأعطال
 سجل الصيانة الدورية
 سجل متابعة الإنذارات الحرجة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لتسليم النفايات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لتسليم المفروشات الغير نظيفة
 سجل التعقيم</t>
    </r>
  </si>
  <si>
    <t>الإفاقة :</t>
  </si>
  <si>
    <r>
      <rPr>
        <b/>
        <sz val="14"/>
        <rFont val="Times New Roman"/>
        <charset val="134"/>
      </rPr>
      <t>البنية التحتية:</t>
    </r>
  </si>
  <si>
    <r>
      <rPr>
        <b/>
        <sz val="14"/>
        <rFont val="Times New Roman"/>
        <charset val="134"/>
      </rPr>
      <t>لا يقل عدد الاسرة عن مرة و نصف عدد غرف العمليات</t>
    </r>
  </si>
  <si>
    <r>
      <rPr>
        <b/>
        <sz val="14"/>
        <rFont val="Times New Roman"/>
        <charset val="134"/>
      </rPr>
      <t>المساحة المخصصة لكل سرير لا تقل عن 8 م2</t>
    </r>
  </si>
  <si>
    <r>
      <rPr>
        <b/>
        <sz val="14"/>
        <rFont val="Times New Roman"/>
        <charset val="134"/>
      </rPr>
      <t>توافر حوض لغسيل الايدي (حوض/4سرير)</t>
    </r>
  </si>
  <si>
    <r>
      <rPr>
        <b/>
        <sz val="14"/>
        <rFont val="Times New Roman"/>
        <charset val="134"/>
      </rPr>
      <t>محطة تمريضية تسمح بملاحظة جميع المرضي</t>
    </r>
  </si>
  <si>
    <r>
      <rPr>
        <b/>
        <sz val="14"/>
        <rFont val="Times New Roman"/>
        <charset val="134"/>
      </rPr>
      <t>وجود ستائر سهلة التنظيف لتوفير الخصوصية</t>
    </r>
  </si>
  <si>
    <r>
      <rPr>
        <b/>
        <sz val="14"/>
        <rFont val="Times New Roman"/>
        <charset val="134"/>
      </rPr>
      <t>التجهيزات بالإفاقة:</t>
    </r>
  </si>
  <si>
    <r>
      <rPr>
        <b/>
        <sz val="14"/>
        <rFont val="Times New Roman"/>
        <charset val="134"/>
      </rPr>
      <t xml:space="preserve">أجهزة مراقبة لرسم القلب و نسبة الأكسجين في الدم و ضغط الدم </t>
    </r>
  </si>
  <si>
    <r>
      <rPr>
        <b/>
        <sz val="14"/>
        <rFont val="Times New Roman"/>
        <charset val="134"/>
      </rPr>
      <t xml:space="preserve">جهاز علاج إرتجاف البطين في متناول اليد  </t>
    </r>
  </si>
  <si>
    <r>
      <rPr>
        <b/>
        <sz val="14"/>
        <rFont val="Times New Roman"/>
        <charset val="134"/>
      </rPr>
      <t xml:space="preserve">أمبوباج               </t>
    </r>
  </si>
  <si>
    <r>
      <rPr>
        <b/>
        <sz val="14"/>
        <rFont val="Times New Roman"/>
        <charset val="134"/>
      </rPr>
      <t xml:space="preserve">جهاز شفط      </t>
    </r>
  </si>
  <si>
    <r>
      <rPr>
        <b/>
        <sz val="14"/>
        <rFont val="Times New Roman"/>
        <charset val="134"/>
      </rPr>
      <t>وجود ممرضة مدربة بصفة دائمة</t>
    </r>
  </si>
  <si>
    <r>
      <rPr>
        <b/>
        <sz val="14"/>
        <rFont val="Times New Roman"/>
        <charset val="134"/>
      </rPr>
      <t>يوجد سجل للإفاقة و يتم التسجيل به بدقة</t>
    </r>
  </si>
  <si>
    <r>
      <rPr>
        <b/>
        <sz val="14"/>
        <rFont val="Times New Roman"/>
        <charset val="134"/>
      </rPr>
      <t xml:space="preserve">تتم ملاحظة المريض وتسجل نتائج الملاحظة في ملف المريض </t>
    </r>
  </si>
  <si>
    <r>
      <rPr>
        <b/>
        <sz val="14"/>
        <rFont val="Times New Roman"/>
        <charset val="134"/>
      </rPr>
      <t xml:space="preserve">يتم تسجيل ساعة دخول و خروج المريض إلي و من الإفاقة  </t>
    </r>
  </si>
  <si>
    <t>وحدة المناظير:</t>
  </si>
  <si>
    <t>البنية التحتية و التجهيزات:</t>
  </si>
  <si>
    <r>
      <rPr>
        <b/>
        <sz val="14"/>
        <rFont val="Times New Roman"/>
        <charset val="134"/>
      </rPr>
      <t>يوجد منطقة غير محظورة , شبه محظورة , منطقة محظورة.</t>
    </r>
  </si>
  <si>
    <r>
      <rPr>
        <b/>
        <sz val="14"/>
        <rFont val="Times New Roman"/>
        <charset val="134"/>
      </rPr>
      <t>منطقة إنتظار المرضى ملحق بها دورة مياه.</t>
    </r>
  </si>
  <si>
    <r>
      <rPr>
        <b/>
        <sz val="14"/>
        <rFont val="Times New Roman"/>
        <charset val="134"/>
      </rPr>
      <t>محطة تمريضية ( بها مكان حفظ الملفات و السجلات – و المستلزمات  )</t>
    </r>
  </si>
  <si>
    <r>
      <rPr>
        <b/>
        <sz val="14"/>
        <rFont val="Times New Roman"/>
        <charset val="134"/>
      </rPr>
      <t>غرفة كشف.</t>
    </r>
  </si>
  <si>
    <r>
      <rPr>
        <b/>
        <sz val="14"/>
        <rFont val="Times New Roman"/>
        <charset val="134"/>
      </rPr>
      <t>منطقة تجهيز المرضى</t>
    </r>
  </si>
  <si>
    <r>
      <rPr>
        <b/>
        <sz val="14"/>
        <rFont val="Times New Roman"/>
        <charset val="134"/>
      </rPr>
      <t xml:space="preserve">غرفة إجراء المناظير ( لا تقل عن 12 متر مربع) </t>
    </r>
  </si>
  <si>
    <r>
      <rPr>
        <b/>
        <sz val="14"/>
        <rFont val="Times New Roman"/>
        <charset val="134"/>
      </rPr>
      <t>غرفة إفاقة ( سريرين لكل غرفة مناظير) بها فواصل بين الأسرة</t>
    </r>
  </si>
  <si>
    <r>
      <rPr>
        <b/>
        <sz val="14"/>
        <rFont val="Times New Roman"/>
        <charset val="134"/>
      </rPr>
      <t>أحواض غسيل الأيدى.</t>
    </r>
  </si>
  <si>
    <r>
      <rPr>
        <b/>
        <sz val="14"/>
        <rFont val="Times New Roman"/>
        <charset val="134"/>
      </rPr>
      <t>مكان لتغيير ملابس الفريق الطبى</t>
    </r>
  </si>
  <si>
    <r>
      <rPr>
        <b/>
        <sz val="14"/>
        <rFont val="Times New Roman"/>
        <charset val="134"/>
      </rPr>
      <t>منطقة غسيل المناظير.</t>
    </r>
  </si>
  <si>
    <r>
      <rPr>
        <b/>
        <sz val="14"/>
        <rFont val="Times New Roman"/>
        <charset val="134"/>
      </rPr>
      <t>منطقة  تعقيم و حفظ المناظير</t>
    </r>
  </si>
  <si>
    <r>
      <rPr>
        <b/>
        <sz val="14"/>
        <rFont val="Times New Roman"/>
        <charset val="134"/>
      </rPr>
      <t>توفير عربة طوارئ</t>
    </r>
  </si>
  <si>
    <r>
      <rPr>
        <b/>
        <sz val="14"/>
        <rFont val="Times New Roman"/>
        <charset val="134"/>
      </rPr>
      <t>إقرار الموافقة على الإجراء</t>
    </r>
  </si>
  <si>
    <r>
      <rPr>
        <b/>
        <sz val="14"/>
        <rFont val="Times New Roman"/>
        <charset val="134"/>
      </rPr>
      <t>يوجد سجل تسجيل مرضى القسم الداخلى( إسم المريض الرباعى- رقم الملف- نوع الإجراء- إسم الطبيب و التمريض ثلاثياً).</t>
    </r>
  </si>
  <si>
    <r>
      <rPr>
        <b/>
        <sz val="14"/>
        <rFont val="Times New Roman"/>
        <charset val="134"/>
      </rPr>
      <t>يوجد سجل تسجيل مرضى الخارجى( إسم المريض الرباعى- الرقم القومى – رقم الإيصال- نوع الإجراء- إسم الطبيب و التمريض ثلاثياً).</t>
    </r>
  </si>
  <si>
    <r>
      <rPr>
        <b/>
        <sz val="14"/>
        <rFont val="Times New Roman"/>
        <charset val="134"/>
      </rPr>
      <t>سجل تطهير و تعقيم المنظار (   اليوم	-  التاريخ	 - نوع المنظـــار- رقم المنظار- تاريخ تحضير السيديكس - ساعة بدء التطهـير- ساعة الإنتهاءمن التطهير- 	رقم  الدورة - إســم الممرضة  ثلاثياً-إســم  مشرفة الوحدة ثلاثياً.</t>
    </r>
  </si>
  <si>
    <r>
      <rPr>
        <b/>
        <sz val="14"/>
        <rFont val="Times New Roman"/>
        <charset val="134"/>
      </rPr>
      <t> 	سجل تسليم و تسلم الحالات من و إلى الأقسام.
 	سجل و نماذج إحالة
 	سجل الأعطال
 	سجل الصيانة الدورية
 	سجل متابعة الإنذارات الحرجة
 	سجل بالقسم لتسليم النفايات
 	سجل تسليم و تسلم المفروشات النظيفة و غير النظيفة.</t>
    </r>
  </si>
  <si>
    <t>وحدة القسطرة القلبية:</t>
  </si>
  <si>
    <t xml:space="preserve">مواصفات المكان: </t>
  </si>
  <si>
    <r>
      <rPr>
        <b/>
        <sz val="14"/>
        <rFont val="Times New Roman"/>
        <charset val="134"/>
      </rPr>
      <t>يوجد ترخيص.</t>
    </r>
  </si>
  <si>
    <r>
      <rPr>
        <b/>
        <sz val="14"/>
        <rFont val="Times New Roman"/>
        <charset val="134"/>
      </rPr>
      <t>المسـاحة المخصصـة لحجـرة القسـطرة لا تقـل عـن 20 متر مربع.</t>
    </r>
  </si>
  <si>
    <r>
      <rPr>
        <b/>
        <sz val="14"/>
        <rFont val="Times New Roman"/>
        <charset val="134"/>
      </rPr>
      <t>الحوائط و الأبواب و النوافذ مجهزة بالرصاص المانع لنفاذ الإشعاعات .</t>
    </r>
  </si>
  <si>
    <t xml:space="preserve">التجهيزات: </t>
  </si>
  <si>
    <r>
      <rPr>
        <b/>
        <sz val="14"/>
        <rFont val="Times New Roman"/>
        <charset val="134"/>
      </rPr>
      <t xml:space="preserve">جهاز رسم قلب </t>
    </r>
  </si>
  <si>
    <r>
      <rPr>
        <b/>
        <sz val="14"/>
        <rFont val="Times New Roman"/>
        <charset val="134"/>
      </rPr>
      <t>جهاز صدمات</t>
    </r>
  </si>
  <si>
    <r>
      <rPr>
        <b/>
        <sz val="14"/>
        <rFont val="Times New Roman"/>
        <charset val="134"/>
      </rPr>
      <t>جهاز تنظيم نبض القلب</t>
    </r>
  </si>
  <si>
    <r>
      <rPr>
        <b/>
        <sz val="14"/>
        <rFont val="Times New Roman"/>
        <charset val="134"/>
      </rPr>
      <t>جهاز تخدير</t>
    </r>
  </si>
  <si>
    <r>
      <rPr>
        <b/>
        <sz val="14"/>
        <rFont val="Times New Roman"/>
        <charset val="134"/>
      </rPr>
      <t>جهاز شفط متنقل</t>
    </r>
  </si>
  <si>
    <r>
      <rPr>
        <b/>
        <sz val="14"/>
        <rFont val="Times New Roman"/>
        <charset val="134"/>
      </rPr>
      <t>مونيتور</t>
    </r>
  </si>
  <si>
    <r>
      <rPr>
        <b/>
        <sz val="14"/>
        <rFont val="Times New Roman"/>
        <charset val="134"/>
      </rPr>
      <t>عربة طوارئ</t>
    </r>
  </si>
  <si>
    <r>
      <rPr>
        <b/>
        <sz val="14"/>
        <rFont val="Times New Roman"/>
        <charset val="134"/>
      </rPr>
      <t>مضخة محاليل</t>
    </r>
  </si>
  <si>
    <r>
      <rPr>
        <b/>
        <sz val="14"/>
        <rFont val="Times New Roman"/>
        <charset val="134"/>
      </rPr>
      <t>كشاف كهربائى</t>
    </r>
  </si>
  <si>
    <r>
      <rPr>
        <b/>
        <sz val="14"/>
        <rFont val="Times New Roman"/>
        <charset val="134"/>
      </rPr>
      <t>مولد كهربائى</t>
    </r>
  </si>
  <si>
    <t xml:space="preserve">إجراءات العمل: </t>
  </si>
  <si>
    <r>
      <rPr>
        <b/>
        <sz val="14"/>
        <rFont val="Times New Roman"/>
        <charset val="134"/>
      </rPr>
      <t>يوجد أمر كتابى بتكليف طبيب ( أخصائى قلب) مسئول عن وحدة القسطرة القلبية.</t>
    </r>
  </si>
  <si>
    <r>
      <rPr>
        <b/>
        <sz val="14"/>
        <rFont val="Times New Roman"/>
        <charset val="134"/>
      </rPr>
      <t>الأطباء العاملين بحجرة القسطرة مدربون على إنعاش القلب المتقدم ALS</t>
    </r>
  </si>
  <si>
    <r>
      <rPr>
        <b/>
        <sz val="14"/>
        <rFont val="Times New Roman"/>
        <charset val="134"/>
      </rPr>
      <t>التمريض العاملين بحجرة القسطرة مدربون على إنعاش القلب الأساسىBLS .</t>
    </r>
  </si>
  <si>
    <r>
      <rPr>
        <b/>
        <sz val="14"/>
        <rFont val="Times New Roman"/>
        <charset val="134"/>
      </rPr>
      <t>توقيع المريض على إقرار الموافقة المستنيرة.</t>
    </r>
  </si>
  <si>
    <r>
      <rPr>
        <b/>
        <sz val="14"/>
        <rFont val="Times New Roman"/>
        <charset val="134"/>
      </rPr>
      <t>يوجد معايير دخول وخروج  وحدة قسطرة القلب.</t>
    </r>
  </si>
  <si>
    <r>
      <rPr>
        <b/>
        <sz val="14"/>
        <rFont val="Times New Roman"/>
        <charset val="134"/>
      </rPr>
      <t>الإلتزام بالوقت المستقطع.</t>
    </r>
  </si>
  <si>
    <r>
      <rPr>
        <b/>
        <sz val="14"/>
        <rFont val="Times New Roman"/>
        <charset val="134"/>
      </rPr>
      <t>يتم تثقيف المريض عند الخروج وإعطائه التعليمات عند الخروج.</t>
    </r>
  </si>
  <si>
    <t xml:space="preserve">السجلات: </t>
  </si>
  <si>
    <r>
      <rPr>
        <b/>
        <sz val="14"/>
        <rFont val="Times New Roman"/>
        <charset val="134"/>
      </rPr>
      <t xml:space="preserve"> سجل العمليات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الأوامر الشفهية و التليفونية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النتائج الحرجة
 سجل تسليم و تسلم الحالات من و إلى الأقسام.
 سجل و نماذج إحالة
 سجل الأعطال
 سجل الصيانة الدورية
 سجل متابعة الإنذارات الحرجة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بالقسم لتسليم النفايات
 سجل تسليم و تسلم المفروشات النظيفة و غير النظيفة.</t>
    </r>
  </si>
  <si>
    <t>وحدة الأطفال المبتسرين:</t>
  </si>
  <si>
    <t>البنية التحتية بوحدة الأطفال المبتسرين : لابد أن تتوافر الشروط الآتية :</t>
  </si>
  <si>
    <r>
      <rPr>
        <b/>
        <sz val="14"/>
        <rFont val="Times New Roman"/>
        <charset val="134"/>
      </rPr>
      <t> غرفة بها أماكن لتغيير الملابس و حوض غسيل للأيدي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</si>
  <si>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غرفة للكشف المبدئي على الطفل و المتابعة بعد الخروج مزودة بحوض لغسيل الأيدي</t>
    </r>
  </si>
  <si>
    <r>
      <rPr>
        <b/>
        <sz val="14"/>
        <rFont val="Times New Roman"/>
        <charset val="134"/>
      </rPr>
      <t> غرفة للرضاعة الطبيعية للأمهات مع مراعاة الخصوصية و يفضل بها حوض</t>
    </r>
  </si>
  <si>
    <r>
      <rPr>
        <b/>
        <sz val="14"/>
        <rFont val="Times New Roman"/>
        <charset val="134"/>
      </rPr>
      <t xml:space="preserve"> مكان لتحضير الأدوية والمحاليل </t>
    </r>
  </si>
  <si>
    <r>
      <rPr>
        <b/>
        <sz val="14"/>
        <rFont val="Times New Roman"/>
        <charset val="134"/>
      </rPr>
      <t> مكان لتحضير الرضعات للاطفال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</si>
  <si>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غرفة خاصة لتعقيم المستلزمات و الحضانات </t>
    </r>
  </si>
  <si>
    <r>
      <rPr>
        <b/>
        <sz val="14"/>
        <rFont val="Times New Roman"/>
        <charset val="134"/>
      </rPr>
      <t> يوجد معمل للتحاليل العاجلة يخدم قسم المبتسرين على مدار 24 ساعة</t>
    </r>
  </si>
  <si>
    <r>
      <rPr>
        <b/>
        <sz val="14"/>
        <rFont val="Times New Roman"/>
        <charset val="134"/>
      </rPr>
      <t> مخزن للأدوية و المستلزمات</t>
    </r>
  </si>
  <si>
    <r>
      <rPr>
        <b/>
        <sz val="14"/>
        <rFont val="Times New Roman"/>
        <charset val="134"/>
      </rPr>
      <t> مخزن للمواد و المهمات النظيفة و مخزن لغير النظيفة</t>
    </r>
  </si>
  <si>
    <r>
      <rPr>
        <b/>
        <sz val="14"/>
        <rFont val="Times New Roman"/>
        <charset val="134"/>
      </rPr>
      <t> مخزن للأدوات و الأجهزة الطبية</t>
    </r>
  </si>
  <si>
    <r>
      <rPr>
        <b/>
        <sz val="14"/>
        <rFont val="Times New Roman"/>
        <charset val="134"/>
      </rPr>
      <t xml:space="preserve"> الأرضيات مانعة للانزلاق و سهلة التنظيف و غير منفذة للسوائل 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</si>
  <si>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الحوائط سيراميك أو دهان مضاد للبكتريا أو سهل الغسل و كذلك السقف 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</si>
  <si>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التهوية جيدة و الإضاءة جيدة طبيعية مع توفر الإضاءة البديلة 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</si>
  <si>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الشبابيك ألوميتال محكمة الغلق مع توفر شباك سلك لمنع دخول الحشرات 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</si>
  <si>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حوض لتعقيم الأيدي داخل الوحدة مع خلاط عمليات ماء بارد / ساخن (حوض لكل 4حضانة)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</si>
  <si>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جهاز تكييف يكفى المساحة الداخلية للحضانة وتكون درجة الحرارة 24 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</si>
  <si>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مخارج كهربائية (ستة مخارج لكل حضانة ) </t>
    </r>
  </si>
  <si>
    <r>
      <rPr>
        <b/>
        <sz val="14"/>
        <rFont val="Times New Roman"/>
        <charset val="134"/>
      </rPr>
      <t> 9 متر مربع لكل حضانه (المسافة بين كل حضانتين 2 متر) مع الوضع العمودي على الحائط</t>
    </r>
  </si>
  <si>
    <r>
      <rPr>
        <b/>
        <sz val="14"/>
        <rFont val="Times New Roman"/>
        <charset val="134"/>
      </rPr>
      <t> يوجد مصدات علي مستويات ملائمة لحماية الحوائط</t>
    </r>
  </si>
  <si>
    <t>التجهيزات بوحدة الأطفال المبتسرين : لابد أن تتوافر الشروط الآتية :</t>
  </si>
  <si>
    <r>
      <rPr>
        <b/>
        <sz val="14"/>
        <rFont val="Times New Roman"/>
        <charset val="134"/>
      </rPr>
      <t xml:space="preserve"> حضانة  و في وضع عمودى              </t>
    </r>
  </si>
  <si>
    <r>
      <rPr>
        <b/>
        <sz val="14"/>
        <rFont val="Times New Roman"/>
        <charset val="134"/>
      </rPr>
      <t xml:space="preserve"> جهاز قياس تشبع الدم بالأكسجين               </t>
    </r>
  </si>
  <si>
    <r>
      <rPr>
        <b/>
        <sz val="14"/>
        <rFont val="Times New Roman"/>
        <charset val="134"/>
      </rPr>
      <t xml:space="preserve"> مونيتور لمتابعة التنفس و النبض              </t>
    </r>
  </si>
  <si>
    <r>
      <rPr>
        <b/>
        <sz val="14"/>
        <rFont val="Times New Roman"/>
        <charset val="134"/>
      </rPr>
      <t xml:space="preserve"> جهاز علاج ضوئي              </t>
    </r>
  </si>
  <si>
    <r>
      <rPr>
        <b/>
        <sz val="14"/>
        <rFont val="Times New Roman"/>
        <charset val="134"/>
      </rPr>
      <t>  أمبوباج</t>
    </r>
  </si>
  <si>
    <r>
      <rPr>
        <b/>
        <sz val="14"/>
        <rFont val="Times New Roman"/>
        <charset val="134"/>
      </rPr>
      <t xml:space="preserve"> جهاز حقن كهربائى بالوريد بالنقط     </t>
    </r>
  </si>
  <si>
    <r>
      <rPr>
        <b/>
        <sz val="14"/>
        <rFont val="Times New Roman"/>
        <charset val="134"/>
      </rPr>
      <t xml:space="preserve"> شفاط كهربائى                 </t>
    </r>
  </si>
  <si>
    <r>
      <rPr>
        <b/>
        <sz val="14"/>
        <rFont val="Times New Roman"/>
        <charset val="134"/>
      </rPr>
      <t xml:space="preserve"> مدفئ اشعاعى ( سيرفو)                    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</si>
  <si>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وحدة أشعة متحركة قصيرة الفترة الزمنية للأطفال </t>
    </r>
  </si>
  <si>
    <r>
      <rPr>
        <b/>
        <sz val="14"/>
        <rFont val="Times New Roman"/>
        <charset val="134"/>
      </rPr>
      <t xml:space="preserve"> عدد كاف من أجهزة قياس نسبة الصفراء بالدم وقتياً  ( حسب عدد الحضانات ) </t>
    </r>
  </si>
  <si>
    <r>
      <rPr>
        <b/>
        <sz val="14"/>
        <rFont val="Times New Roman"/>
        <charset val="134"/>
      </rPr>
      <t> مصدر أكسجين أساسي و إحتياطى</t>
    </r>
  </si>
  <si>
    <r>
      <rPr>
        <b/>
        <sz val="14"/>
        <rFont val="Times New Roman"/>
        <charset val="134"/>
      </rPr>
      <t> ثلاجة لحفظ لبن الطفل سواء كان صناعي أو من الأم , و أيضاص لحفظ الأدوية</t>
    </r>
  </si>
  <si>
    <r>
      <rPr>
        <b/>
        <sz val="14"/>
        <rFont val="Times New Roman"/>
        <charset val="134"/>
      </rPr>
      <t xml:space="preserve"> منظار حنجرى للطفل                            </t>
    </r>
  </si>
  <si>
    <r>
      <rPr>
        <b/>
        <sz val="14"/>
        <rFont val="Times New Roman"/>
        <charset val="134"/>
      </rPr>
      <t xml:space="preserve"> جهاز إستنشاق او ( فلوميتر على الشبكة  ) </t>
    </r>
  </si>
  <si>
    <r>
      <rPr>
        <b/>
        <sz val="14"/>
        <rFont val="Times New Roman"/>
        <charset val="134"/>
      </rPr>
      <t xml:space="preserve"> جهاز ضغط و سماعة أطفال  </t>
    </r>
  </si>
  <si>
    <r>
      <rPr>
        <b/>
        <sz val="14"/>
        <rFont val="Times New Roman"/>
        <charset val="134"/>
      </rPr>
      <t xml:space="preserve"> أجهزة تنفس صناعي و (CPAP)      </t>
    </r>
  </si>
  <si>
    <r>
      <rPr>
        <b/>
        <sz val="14"/>
        <rFont val="Times New Roman"/>
        <charset val="134"/>
      </rPr>
      <t xml:space="preserve"> أجهزة  مضخة محاليل </t>
    </r>
  </si>
  <si>
    <r>
      <rPr>
        <b/>
        <sz val="14"/>
        <rFont val="Times New Roman"/>
        <charset val="134"/>
      </rPr>
      <t> غلاية لتطهير الببرونات</t>
    </r>
  </si>
  <si>
    <r>
      <rPr>
        <b/>
        <sz val="14"/>
        <rFont val="Times New Roman"/>
        <charset val="134"/>
      </rPr>
      <t>فلتر المياه مدون به تاريخ التغيير و تاريخ التغيير القادم.</t>
    </r>
  </si>
  <si>
    <r>
      <rPr>
        <b/>
        <sz val="14"/>
        <rFont val="Times New Roman"/>
        <charset val="134"/>
      </rPr>
      <t>تتوفر ممرضة لكل عدد 2 حضانة في قسم الاطفال المبتسرين</t>
    </r>
  </si>
  <si>
    <r>
      <rPr>
        <b/>
        <sz val="14"/>
        <rFont val="Times New Roman"/>
        <charset val="134"/>
      </rPr>
      <t>يوجد تعليمات موثقة و معلنة بغرفة تطهير الحضانات بكيفية تطهير الحضانات طبقا لتعليمات مكافحة العدوى.</t>
    </r>
  </si>
  <si>
    <t>لابد أن تتوافر السجلات الآتية على الأقل :</t>
  </si>
  <si>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دخول و خروج المرضى.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الأوامر الشفهية و التليفونية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النتائج الحرجة
 سجل تسليم و تسلم الحالات من و إلى الأقسام.
 سجل و نماذج إحالة
 سجل الأعطال
 سجل الصيانة الدورية
 سجل متابعة الإنذارات الحرجة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بالقسم لتسليم النفايات
 سجل تسليم و تسلم المفروشات النظيفة و غير النظيفة.</t>
    </r>
  </si>
  <si>
    <t>وحدة الغسيل الكلوى:</t>
  </si>
  <si>
    <t>البنية التحتية بوحدة الغسيل الكلوى: لابد أن تتوافر الشروط الآتية :</t>
  </si>
  <si>
    <r>
      <rPr>
        <b/>
        <sz val="14"/>
        <rFont val="Times New Roman"/>
        <charset val="134"/>
      </rPr>
      <t xml:space="preserve"> يسهل الوصول من العيادات الخارجية أو المدخل الرئيسي </t>
    </r>
  </si>
  <si>
    <r>
      <rPr>
        <b/>
        <sz val="14"/>
        <rFont val="Times New Roman"/>
        <charset val="134"/>
      </rPr>
      <t> يوجد مخرج طوارئ</t>
    </r>
  </si>
  <si>
    <r>
      <rPr>
        <b/>
        <sz val="14"/>
        <rFont val="Times New Roman"/>
        <charset val="134"/>
      </rPr>
      <t xml:space="preserve"> لا يقل المكان المخصص لكل مريض عن 9 م2 </t>
    </r>
  </si>
  <si>
    <r>
      <rPr>
        <b/>
        <sz val="14"/>
        <rFont val="Times New Roman"/>
        <charset val="134"/>
      </rPr>
      <t> وفر الخصوصية عن طريق فواصل بين الأسرة سهلة التنظيف</t>
    </r>
  </si>
  <si>
    <r>
      <rPr>
        <b/>
        <sz val="14"/>
        <rFont val="Times New Roman"/>
        <charset val="134"/>
      </rPr>
      <t xml:space="preserve"> يوجد مكان مخصص للانتظار </t>
    </r>
  </si>
  <si>
    <r>
      <rPr>
        <b/>
        <sz val="14"/>
        <rFont val="Times New Roman"/>
        <charset val="134"/>
      </rPr>
      <t> يوجد دورة مياه لكل وحدة</t>
    </r>
  </si>
  <si>
    <r>
      <rPr>
        <b/>
        <sz val="14"/>
        <rFont val="Times New Roman"/>
        <charset val="134"/>
      </rPr>
      <t> حوض لغسيل الأيدي /4 وحدات علاجية</t>
    </r>
  </si>
  <si>
    <r>
      <rPr>
        <b/>
        <sz val="14"/>
        <rFont val="Times New Roman"/>
        <charset val="134"/>
      </rPr>
      <t> يوجد محطة تمريضية تسمح بملاحظة جميع المرضي</t>
    </r>
  </si>
  <si>
    <r>
      <rPr>
        <b/>
        <sz val="14"/>
        <rFont val="Times New Roman"/>
        <charset val="134"/>
      </rPr>
      <t xml:space="preserve"> وجود وسائل صحية للمياه و الصرف الصحي و الكهرباء </t>
    </r>
  </si>
  <si>
    <r>
      <rPr>
        <b/>
        <sz val="14"/>
        <rFont val="Times New Roman"/>
        <charset val="134"/>
      </rPr>
      <t>يجب تخصيص غرفة عزل للمرضى الإيجابيين لفيروس الالتهاب الكبدي بي.</t>
    </r>
  </si>
  <si>
    <r>
      <rPr>
        <b/>
        <sz val="14"/>
        <rFont val="Times New Roman"/>
        <charset val="134"/>
      </rPr>
      <t>يجب تخصيص غرفة عزل للمرضى الإيجابيين لفيروس الالتهاب الكبدي سي</t>
    </r>
  </si>
  <si>
    <r>
      <rPr>
        <b/>
        <sz val="14"/>
        <rFont val="Times New Roman"/>
        <charset val="134"/>
      </rPr>
      <t>يوجد منطقة Gray Zone للمرضى المعالجين من فيروس C و يتم متابعتهم (PCR).</t>
    </r>
  </si>
  <si>
    <r>
      <rPr>
        <b/>
        <sz val="14"/>
        <rFont val="Times New Roman"/>
        <charset val="134"/>
      </rPr>
      <t>يجب تخصيص منطقة لتخزين الإمدادات والمعدات النظيفة .</t>
    </r>
  </si>
  <si>
    <r>
      <rPr>
        <b/>
        <sz val="14"/>
        <rFont val="Times New Roman"/>
        <charset val="134"/>
      </rPr>
      <t>توجد بالوحدة غرفة لتغير ملابس خاصة بالعاملين</t>
    </r>
  </si>
  <si>
    <r>
      <rPr>
        <b/>
        <sz val="14"/>
        <rFont val="Times New Roman"/>
        <charset val="134"/>
      </rPr>
      <t xml:space="preserve">تتوفر لكل وحدة علاج محطة تمريضية تسمح بملاحظة جميع المرضى   </t>
    </r>
  </si>
  <si>
    <r>
      <rPr>
        <b/>
        <sz val="14"/>
        <rFont val="Times New Roman"/>
        <charset val="134"/>
      </rPr>
      <t xml:space="preserve">توجد بوحدة الغسيل الكلوي غرفة كشف تتوفر بها الشروط التالية: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لا تقل مساحة الغرفة عن 12 م2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وجود حوض لغسيل الأيدي
 مكتب و سرير لفحص المريض</t>
    </r>
  </si>
  <si>
    <r>
      <rPr>
        <b/>
        <sz val="14"/>
        <rFont val="Times New Roman"/>
        <charset val="134"/>
      </rPr>
      <t xml:space="preserve">توجد بالوحدة قاعة للإنتظار تتوفر بها الشروط التالية 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وجود دورة مياه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ثلاجة مياه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كراسي إنتظار مريحة
 كرسي متحرك</t>
    </r>
  </si>
  <si>
    <r>
      <rPr>
        <b/>
        <sz val="14"/>
        <rFont val="Times New Roman"/>
        <charset val="134"/>
      </rPr>
      <t xml:space="preserve">تتوافر الشروط الآتية لوحدة معالجة المياه: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وجود 2 تانكات للمياه مصنوعة من PV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وجود 4 مضخات مياه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وجود فلاتر تعقيم المياه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توفير جهاز الضغط الاسموزي المعكوس  
 وجود وحدة تعقيم UV LAMP</t>
    </r>
  </si>
  <si>
    <r>
      <rPr>
        <b/>
        <sz val="14"/>
        <rFont val="Traditional Arabic"/>
        <charset val="134"/>
      </rPr>
      <t>يتم أخذ عينة مياه كل  أسبوعين / شهرياً للتأكد من صلاحيتها و توجد نتائج التحاليل</t>
    </r>
  </si>
  <si>
    <r>
      <rPr>
        <b/>
        <sz val="14"/>
        <rFont val="Times New Roman"/>
        <charset val="134"/>
      </rPr>
      <t xml:space="preserve">يجب أن تتوفر الصفات التالية في المخازن بالغسيل الكلوى  :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المخازن مشيدة من مواد مقاومة للحريق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فتحات تهوية علوية مغطاة بسلك ضيق النسيج و محكم أو اى وسيلة أخرى للتهوية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يراعى نظافة الغرفة دائماً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الدواليب و الأرفف مقاومة للحريق 
 وجود مسافات كافية بين المخزونات تسمح بحرية الحركة.</t>
    </r>
  </si>
  <si>
    <t xml:space="preserve">السياسات و الإجراءات بوحدة الغسيل الكلوى: </t>
  </si>
  <si>
    <r>
      <rPr>
        <b/>
        <sz val="14"/>
        <rFont val="Times New Roman"/>
        <charset val="134"/>
      </rPr>
      <t xml:space="preserve"> إستقبال مريض جديد 
 إستقبال مريض متردد 
 بدء جلسة الاستصفاء الدموي 
 إنهاء جلسة الاستصفاء الدموي
 العناية بالماكينة بعد الجلسة
 عمل تحليل شهري للمرضى
 صرف علاج شهري لمرضى وزارة الصحة 
 تركيب ماهوكر ( مجموعة قسطرة ترقوة ) 
 تركيب قسطرة فخذية
 عمل جلسة غسيل بريتوني ( مؤقت )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إعطاء دم للمريض
 بجانب سياسات الجودة و مكافحة العدوى </t>
    </r>
  </si>
  <si>
    <t xml:space="preserve">بروتوكول العمل : </t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</si>
  <si>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يتوافر بروتوكول العمل بالغسيل الكلوى يشمل على الأقل: 
 إدارة انسداد وصلة الغسیل الكلوي.
 استخدام منع تخثر الدم.
  المضاعفات الناجمة عن الغسیل الكلوي.</t>
    </r>
  </si>
  <si>
    <r>
      <rPr>
        <b/>
        <sz val="14"/>
        <rFont val="Times New Roman"/>
        <charset val="134"/>
      </rPr>
      <t> بروتوكول الألم</t>
    </r>
  </si>
  <si>
    <r>
      <rPr>
        <b/>
        <sz val="14"/>
        <rFont val="Times New Roman"/>
        <charset val="134"/>
      </rPr>
      <t xml:space="preserve"> برتوكول الوقاية من الجلطات الوريدية الدموية VTE </t>
    </r>
  </si>
  <si>
    <r>
      <rPr>
        <b/>
        <sz val="14"/>
        <rFont val="Times New Roman"/>
        <charset val="134"/>
      </rPr>
      <t xml:space="preserve"> يتوافر بروتوكول العمل بالرعاية المركزة </t>
    </r>
  </si>
  <si>
    <r>
      <rPr>
        <b/>
        <sz val="14"/>
        <rFont val="Times New Roman"/>
        <charset val="134"/>
      </rPr>
      <t xml:space="preserve">العاملون بوحدة الغسيل الكلوى  مدربون على هذه البروتوكولات  </t>
    </r>
  </si>
  <si>
    <t xml:space="preserve">الملف الطبى: </t>
  </si>
  <si>
    <r>
      <rPr>
        <b/>
        <sz val="14"/>
        <rFont val="Times New Roman"/>
        <charset val="134"/>
      </rPr>
      <t>يوجد ملف طبي لمرضى الغسيل الكلوي يشمل النماذج الأساسية بالملف السابق ذكرها مع إضافة نموذج متابعة جلسة الغسيل.</t>
    </r>
  </si>
  <si>
    <r>
      <rPr>
        <b/>
        <sz val="14"/>
        <rFont val="Times New Roman"/>
        <charset val="134"/>
      </rPr>
      <t>يتم إستكمال جميع النماذج بالملف الطبي بدقة</t>
    </r>
  </si>
  <si>
    <t xml:space="preserve">السجلات: لابد من توافر السجلات الآتية في وحدة الغسيل الكلوي على الأقل: </t>
  </si>
  <si>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حصر المرضى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الفحوصات الشهرية للمرضى 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نتائج  الفيروسات للمرضى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نتائج الفيروسات للعاملين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تطعيم المرضى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 سجل تطعيم العاملين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الوفيات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نقل الدم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عينات و نتائج فحص المياه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تسجيل كفاءة الجلسة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التقصى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حصر الأجهزة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الأعطال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التدخلات و الإجراءات الخارجية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توزيع المهام
 سجل الأوامر الشفهية و التليفونية
 سجل النتائج الحرجة
 سجل و نماذج إحالة
 سجل الصيانة الدورية
 سجل متابعة الإنذارات الحرجة
 سجل بالقسم لتسليم النفايات
 سجل تسليم و تسلم المفروشات النظيفة و غير النظيفة.</t>
    </r>
  </si>
  <si>
    <t xml:space="preserve">الإقرارات: </t>
  </si>
  <si>
    <r>
      <rPr>
        <b/>
        <sz val="14"/>
        <rFont val="Times New Roman"/>
        <charset val="134"/>
      </rPr>
      <t>يتم أخذ الموافقة على الإقرارات الآتية: 
 إجراء الجلسة
 نقل الدم مع كل مرة نقل دم
 أى إجراء تداخلى</t>
    </r>
  </si>
  <si>
    <t xml:space="preserve">فحوصات المرضى: </t>
  </si>
  <si>
    <r>
      <rPr>
        <b/>
        <sz val="14"/>
        <rFont val="Times New Roman"/>
        <charset val="134"/>
      </rPr>
      <t xml:space="preserve">تلتزم الوحدة بإجراء الفحوصات التالية لجميع المرضى 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 لا يتم عمل غسيل لأي مريض جديد قبل إجراء التحليل القبلي له بطريقة  ELISA.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	يتم عمل الفحوص الفيروسية للمرضى بصفة دورية كل 3 شهور (HCV- HBV- HIV )
 	في حالة الطوارئ القصوى يتم عمل Rapid test مع سحب  عينة ELISA.</t>
    </r>
  </si>
  <si>
    <r>
      <rPr>
        <b/>
        <sz val="14"/>
        <rFont val="Times New Roman"/>
        <charset val="134"/>
      </rPr>
      <t xml:space="preserve">يتم إرسال عينة للمعامل المركزية في حالة ايجابية لفيروس نقص المناعة المكتسبة HIV.  </t>
    </r>
  </si>
  <si>
    <r>
      <rPr>
        <b/>
        <sz val="14"/>
        <rFont val="Times New Roman"/>
        <charset val="134"/>
      </rPr>
      <t xml:space="preserve">تحول الحالات الايجابية لفيروس HIV لإجراء الغسيل الكلوي في مستشفى الحميات </t>
    </r>
  </si>
  <si>
    <t xml:space="preserve"> الإجمالى</t>
  </si>
  <si>
    <t>الحروق:</t>
  </si>
  <si>
    <t>البنية التحتية:</t>
  </si>
  <si>
    <r>
      <rPr>
        <b/>
        <sz val="14"/>
        <rFont val="Times New Roman"/>
        <charset val="134"/>
      </rPr>
      <t xml:space="preserve">يجب أن يكون القسم بمكان قريب من العمليات / الطوارئ.
</t>
    </r>
  </si>
  <si>
    <r>
      <rPr>
        <b/>
        <sz val="14"/>
        <rFont val="Times New Roman"/>
        <charset val="134"/>
      </rPr>
      <t>مكان مخصص لرعاية المرضى:
يفضل أن  تكون عبارة عن غرفة منفصلة أو على الأقل يتم توفير
فواصل مادية سهلة التنظيف والتطهير بين المرضى.</t>
    </r>
  </si>
  <si>
    <r>
      <rPr>
        <b/>
        <sz val="14"/>
        <rFont val="Times New Roman"/>
        <charset val="134"/>
      </rPr>
      <t xml:space="preserve">غرفة الغيار الجاف و تشمل 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سرير كشف ودولاب طوارئ
 كرسى متحرك و تروللى لنقل المرضى قبل وبعد الغيار</t>
    </r>
  </si>
  <si>
    <r>
      <rPr>
        <b/>
        <sz val="14"/>
        <rFont val="Times New Roman"/>
        <charset val="134"/>
      </rPr>
      <t xml:space="preserve">غرفة الغيارالمائى و تشمل 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	  كرسى متحرك و تروللى لنقل المرضى قبل وبعد الغيار
 	   بانيو للغيار المائى</t>
    </r>
  </si>
  <si>
    <r>
      <rPr>
        <b/>
        <sz val="14"/>
        <rFont val="Times New Roman"/>
        <charset val="134"/>
      </rPr>
      <t>مكان لتحضير الدواء.</t>
    </r>
  </si>
  <si>
    <r>
      <rPr>
        <b/>
        <sz val="14"/>
        <rFont val="Times New Roman"/>
        <charset val="134"/>
      </rPr>
      <t>مكان للأدوات النظيفة.</t>
    </r>
  </si>
  <si>
    <r>
      <rPr>
        <b/>
        <sz val="14"/>
        <rFont val="Times New Roman"/>
        <charset val="134"/>
      </rPr>
      <t>مكان للتخزين المؤقت للنفايات.</t>
    </r>
  </si>
  <si>
    <r>
      <rPr>
        <b/>
        <sz val="14"/>
        <rFont val="Times New Roman"/>
        <charset val="134"/>
      </rPr>
      <t>تتوفر تهوية جيدة ونظام تحكم في درجة الحرارة والرطوبة داخل القسم</t>
    </r>
  </si>
  <si>
    <r>
      <rPr>
        <b/>
        <sz val="14"/>
        <rFont val="Times New Roman"/>
        <charset val="134"/>
      </rPr>
      <t>الإضاءة الكافية بحيث تسمح بالقيام بالرعاية الصحية المطلوبة و توفر الراحة للعاملين والمرضى.</t>
    </r>
  </si>
  <si>
    <r>
      <rPr>
        <b/>
        <sz val="14"/>
        <rFont val="Times New Roman"/>
        <charset val="134"/>
      </rPr>
      <t>وجود جدول زمنى دورى لتنظيف و تطهير غرف الحروق.</t>
    </r>
  </si>
  <si>
    <r>
      <rPr>
        <b/>
        <sz val="14"/>
        <rFont val="Times New Roman"/>
        <charset val="134"/>
      </rPr>
      <t xml:space="preserve">مواصفات  دخول المرضى إلى القسم تشمل على الأقل: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حروق الاطفال 10% او اكثر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حروق الوجه والكفين و القدمين و الاعضاء التناسلية
 الحروق الكهربائية و الكيمائية</t>
    </r>
  </si>
  <si>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دخول و خروج المرضى.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الأوامر الشفهية و التليفونية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النتائج الحرجة
 سجل و نماذج إحالة
 سجل الأعطال
 سجل الصيانة الدورية
 سجل متابعة الإنذارات الحرجة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بالقسم لتسليم النفايات
 سجل تسليم و تسلم المفروشات النظيفة و غير النظيفة.</t>
    </r>
  </si>
  <si>
    <t xml:space="preserve">  الإجمالى</t>
  </si>
  <si>
    <t>العيادات الخارجية:</t>
  </si>
  <si>
    <r>
      <rPr>
        <b/>
        <sz val="14"/>
        <rFont val="Times New Roman"/>
        <charset val="134"/>
      </rPr>
      <t>العيادات لها مدخل خاص و يسهل الوصول إليها ( إرشادات خارجية ).</t>
    </r>
  </si>
  <si>
    <r>
      <rPr>
        <b/>
        <sz val="14"/>
        <rFont val="Times New Roman"/>
        <charset val="134"/>
      </rPr>
      <t>وجود مكان لقطع التذاكر.</t>
    </r>
  </si>
  <si>
    <r>
      <rPr>
        <b/>
        <sz val="14"/>
        <rFont val="Times New Roman"/>
        <charset val="134"/>
      </rPr>
      <t>نوع الخدمات المقدمة معلنة و واضحة.</t>
    </r>
  </si>
  <si>
    <r>
      <rPr>
        <b/>
        <sz val="14"/>
        <rFont val="Times New Roman"/>
        <charset val="134"/>
      </rPr>
      <t>غرف الكشف التى تسمح بحرية الحركة و مزودة بوسائل التشخيص المناسبة.</t>
    </r>
  </si>
  <si>
    <r>
      <rPr>
        <b/>
        <sz val="14"/>
        <rFont val="Times New Roman"/>
        <charset val="134"/>
      </rPr>
      <t>الأسلاك و التوصيلات الكهربائية سليمة و داخل الحائط.</t>
    </r>
  </si>
  <si>
    <r>
      <rPr>
        <b/>
        <sz val="14"/>
        <rFont val="Times New Roman"/>
        <charset val="134"/>
      </rPr>
      <t>الأبواب والشبابيك سليمة.</t>
    </r>
  </si>
  <si>
    <r>
      <rPr>
        <b/>
        <sz val="14"/>
        <rFont val="Times New Roman"/>
        <charset val="134"/>
      </rPr>
      <t>يوجد لافتات إرشادية واضحة (الإنتظار- دورة المياه ....... ).</t>
    </r>
  </si>
  <si>
    <r>
      <rPr>
        <b/>
        <sz val="14"/>
        <rFont val="Times New Roman"/>
        <charset val="134"/>
      </rPr>
      <t>مكان الإنتظار :  4  كراسي على الأقل لكل عيادة أو حسب نسبة التردد .</t>
    </r>
  </si>
  <si>
    <r>
      <rPr>
        <b/>
        <sz val="14"/>
        <rFont val="Times New Roman"/>
        <charset val="134"/>
      </rPr>
      <t>كل عيادة بها حوض و ماء جاري و صابون و فوط لتجفيف الأيدى .</t>
    </r>
  </si>
  <si>
    <r>
      <rPr>
        <b/>
        <sz val="14"/>
        <rFont val="Times New Roman"/>
        <charset val="134"/>
      </rPr>
      <t>تواجد مدير العيادات ومشرفة التمريض مكلفين بأمر رسمى.</t>
    </r>
  </si>
  <si>
    <r>
      <rPr>
        <b/>
        <sz val="14"/>
        <rFont val="Times New Roman"/>
        <charset val="134"/>
      </rPr>
      <t>بجوار كل عيادة لافتة توضح إسم الطبيب وتخصصه.</t>
    </r>
  </si>
  <si>
    <r>
      <rPr>
        <b/>
        <sz val="14"/>
        <rFont val="Times New Roman"/>
        <charset val="134"/>
      </rPr>
      <t>ملف المريض بالعيادات مكتمل البيانات ومسجل بها (التشخيص – السن- الأدوية بالتركيز والجرعات وطريقة الإستخدام –إسم الطبيب و الممرضة ثلاثياً</t>
    </r>
  </si>
  <si>
    <r>
      <rPr>
        <b/>
        <sz val="14"/>
        <rFont val="Times New Roman"/>
        <charset val="134"/>
      </rPr>
      <t>يتم إعلام المريض بالوقت المتوقع للإنتظار</t>
    </r>
  </si>
  <si>
    <t>القوائم:</t>
  </si>
  <si>
    <r>
      <rPr>
        <b/>
        <sz val="14"/>
        <rFont val="Times New Roman"/>
        <charset val="134"/>
      </rPr>
      <t>قائمة بتجهيزات كل عيادة.</t>
    </r>
  </si>
  <si>
    <r>
      <rPr>
        <b/>
        <sz val="14"/>
        <rFont val="Times New Roman"/>
        <charset val="134"/>
      </rPr>
      <t>قائمة بالأدوية المتوفرة بكل عيادة محدثة.</t>
    </r>
  </si>
  <si>
    <r>
      <rPr>
        <b/>
        <sz val="14"/>
        <rFont val="Times New Roman"/>
        <charset val="134"/>
      </rPr>
      <t>يوجد سجل  لتسجيل المرضى بكل عيادة .</t>
    </r>
  </si>
  <si>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تسجيل تردد المرضى.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النتائج الحرجة
 سجل و نماذج إحالة
 سجل الأعطال
 سجل الصيانة الدورية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بالقسم لتسليم النفايات
 سجل تسليم و تسلم المفروشات النظيفة و غير النظيفة.</t>
    </r>
  </si>
  <si>
    <t xml:space="preserve">الأقسام الداخلية: </t>
  </si>
  <si>
    <r>
      <rPr>
        <b/>
        <sz val="14"/>
        <rFont val="Times New Roman"/>
        <charset val="134"/>
      </rPr>
      <t>يوجد رئيس للقسم وله تكليف رسمي.</t>
    </r>
  </si>
  <si>
    <r>
      <rPr>
        <b/>
        <sz val="14"/>
        <rFont val="Times New Roman"/>
        <charset val="134"/>
      </rPr>
      <t>توجد محطة تمريضية .</t>
    </r>
  </si>
  <si>
    <r>
      <rPr>
        <b/>
        <sz val="14"/>
        <rFont val="Times New Roman"/>
        <charset val="134"/>
      </rPr>
      <t>غرف المرضى :
مرتبة سليمة و نظيفة – أثاث سليم – السائر نظيفة – الإضاءة و التهوية بحالة جيدة – الأبواب سليمة و نظيفة.</t>
    </r>
  </si>
  <si>
    <r>
      <rPr>
        <b/>
        <sz val="14"/>
        <rFont val="Times New Roman"/>
        <charset val="134"/>
      </rPr>
      <t>وحدة رأس المريض:
نظيفة و سليمة – الإضاءة سليمة – مخارج الغازات تعمل.</t>
    </r>
  </si>
  <si>
    <r>
      <rPr>
        <b/>
        <sz val="14"/>
        <rFont val="Times New Roman"/>
        <charset val="134"/>
      </rPr>
      <t xml:space="preserve">توجد أماكن إنتظار بعدد مناسب و أثاث جيد - </t>
    </r>
  </si>
  <si>
    <r>
      <rPr>
        <b/>
        <sz val="14"/>
        <rFont val="Times New Roman"/>
        <charset val="134"/>
      </rPr>
      <t>فحص الملف الطبي للمريض والتأكد من إستيفاء تسجيل كافة البيانات والإقرارات والنماذج والأوامر الطبية وخطة الرعاية التمريضية بالملف</t>
    </r>
  </si>
  <si>
    <r>
      <rPr>
        <b/>
        <sz val="14"/>
        <rFont val="Times New Roman"/>
        <charset val="134"/>
      </rPr>
      <t>المكان نظيف وجيد التهوية والشبابيك بها سلك ضيق الفتحات و سليم.</t>
    </r>
  </si>
  <si>
    <r>
      <rPr>
        <b/>
        <sz val="14"/>
        <rFont val="Times New Roman"/>
        <charset val="134"/>
      </rPr>
      <t>إلتزام الفريق الطبى ( أطباء – تمريض) بالزي الرسمي وكارت التعريف</t>
    </r>
  </si>
  <si>
    <r>
      <rPr>
        <b/>
        <sz val="14"/>
        <rFont val="Times New Roman"/>
        <charset val="134"/>
      </rPr>
      <t>التأكد من وجود عدد كافي من التمريض يتناسب مع عدد الأسرة بالقسم</t>
    </r>
  </si>
  <si>
    <r>
      <rPr>
        <b/>
        <sz val="14"/>
        <rFont val="Times New Roman"/>
        <charset val="134"/>
      </rPr>
      <t>وجود طفايات حريق بأعداد مناسبة  و على إرتفاع مناسب</t>
    </r>
  </si>
  <si>
    <r>
      <rPr>
        <b/>
        <sz val="14"/>
        <rFont val="Times New Roman"/>
        <charset val="134"/>
      </rPr>
      <t>يوجد بكل قسم أجهزة ضغط وسماعات، جهاز قياس نسبة الأكسجين بالدم جهاز قياس السكر والأشرطة المناسبة لنوع الجهاز وجميعها تعمل بكفاءة عالية</t>
    </r>
  </si>
  <si>
    <r>
      <rPr>
        <b/>
        <sz val="14"/>
        <rFont val="Times New Roman"/>
        <charset val="134"/>
      </rPr>
      <t>يوجد بالقسم ثلاجة لحفظ الأدوية وعليها قائمة بالأدوية ودرجات الحرارة المسجلة بكل شيفت وبداخلها ترمومتر</t>
    </r>
  </si>
  <si>
    <r>
      <rPr>
        <b/>
        <sz val="14"/>
        <rFont val="Times New Roman"/>
        <charset val="134"/>
      </rPr>
      <t>قائمة محدثة بمحتويات دولاب المستلزمات</t>
    </r>
  </si>
  <si>
    <r>
      <rPr>
        <b/>
        <sz val="14"/>
        <rFont val="Times New Roman"/>
        <charset val="134"/>
      </rPr>
      <t>مراعاة خصوصية كل مريض وذلك بتوفير ستائر أو بارافانات بين الأسرة</t>
    </r>
  </si>
  <si>
    <r>
      <rPr>
        <b/>
        <sz val="14"/>
        <rFont val="Times New Roman"/>
        <charset val="134"/>
      </rPr>
      <t xml:space="preserve">توجد غرفة  لتحضير الأدوية تابعة لكل قسم على حدة يتوفر بها طاولة لتحضير العلاج – صواني للعلاج - حاويات للنفايات </t>
    </r>
  </si>
  <si>
    <r>
      <rPr>
        <b/>
        <sz val="14"/>
        <rFont val="Times New Roman"/>
        <charset val="134"/>
      </rPr>
      <t>التأكد من وجود السجلات الأتية على الأقل :
 سجل دخول وخروج
 سجل توزيع العمل
 سجل أحوال القسم 
 سجل التسليم والتسلم
 سجل الإبلاغ عن الأعطال
 سجل النتائج الحرجة
 سجل الأوامر الشفهية
 سجل تسليم النفايات
 سجل تسليم و تسلم المفروشات النظيفة و غير النظيفة</t>
    </r>
  </si>
  <si>
    <r>
      <rPr>
        <b/>
        <sz val="14"/>
        <rFont val="Times New Roman"/>
        <charset val="134"/>
      </rPr>
      <t>قسم النسا يوجد به :
  كشك ولادة – ميزان – جهاز سونار – جهاز ضغط – سماعة - جهاز لقياس نسبة السكر والأشرطة المناسبة له – سيرفو- جهاز تشفيط – أمبوباج كبار وأطفال – جهاز لقياس نبض الجنين - كشاف – كراش كارت مؤمنة  - سرير أطفال )</t>
    </r>
  </si>
  <si>
    <r>
      <rPr>
        <b/>
        <sz val="14"/>
        <rFont val="Times New Roman"/>
        <charset val="134"/>
      </rPr>
      <t xml:space="preserve">يدون التاريخ المرضى و الفحص الإكلينيكى بملف المريض خلال 24 ساعة من الدخول. </t>
    </r>
  </si>
  <si>
    <r>
      <rPr>
        <b/>
        <sz val="14"/>
        <rFont val="Times New Roman"/>
        <charset val="134"/>
      </rPr>
      <t>تدون ملاحظات الطبيب على تطور حالة المريض مرة واحدة يومياً على الأقل.</t>
    </r>
  </si>
  <si>
    <r>
      <rPr>
        <b/>
        <sz val="14"/>
        <rFont val="Times New Roman"/>
        <charset val="134"/>
      </rPr>
      <t xml:space="preserve">تقوم الممرضة بالتقييمات التمريضية  للمريض خلال الشيفت الذى تم  به دخول المريض. </t>
    </r>
  </si>
  <si>
    <r>
      <rPr>
        <b/>
        <sz val="14"/>
        <rFont val="Times New Roman"/>
        <charset val="134"/>
      </rPr>
      <t xml:space="preserve">توافر كارت الصيانة و كارت  تعريف لكل جهاز. </t>
    </r>
  </si>
  <si>
    <r>
      <rPr>
        <b/>
        <sz val="14"/>
        <rFont val="Times New Roman"/>
        <charset val="134"/>
      </rPr>
      <t>يتم تمييز جميع المحاليل / الأدوية / السرنجات بما يوضح إسم الدواء  - إسم المريض رباعى و رقم الملف- تاريخ و ساعة الإعداد -  طريقة الإستخدام – معدل التنقيط و الإضافات و إسم القائم بالتركيب ( فى حالة تركيب محاليل)</t>
    </r>
  </si>
  <si>
    <r>
      <rPr>
        <b/>
        <sz val="14"/>
        <rFont val="Times New Roman"/>
        <charset val="134"/>
      </rPr>
      <t>يوجد دليل عمل إكلينيكى للأمراض الأكثر شيوعا / خطورة / الحالات أو الأمراض المسببة للمشكلات.</t>
    </r>
  </si>
  <si>
    <r>
      <rPr>
        <b/>
        <sz val="14"/>
        <rFont val="Times New Roman"/>
        <charset val="134"/>
      </rPr>
      <t>يوجد تشكيل فريق الإستجابة السريع للتدهور الإكلينيكى  RRTو مفعل و يتكون الفريق من : 
 الطبيب المعالج
 طبيب العناية المركزة  
 الممرضة المسئولة عن الحالة
 مشرفة القسم</t>
    </r>
  </si>
  <si>
    <t>قسم الأورام :</t>
  </si>
  <si>
    <r>
      <rPr>
        <b/>
        <sz val="14"/>
        <rFont val="Times New Roman"/>
        <charset val="134"/>
      </rPr>
      <t>القسم مجهز بوحدات مخصصة للعلاج الكيميائي، الإشعاعي، والرعاية الطبية</t>
    </r>
  </si>
  <si>
    <r>
      <rPr>
        <b/>
        <sz val="14"/>
        <rFont val="Times New Roman"/>
        <charset val="134"/>
      </rPr>
      <t>يوجد طبيب إستشاري أورام مؤهل لحالات الأورام مسئول عن القسم.</t>
    </r>
  </si>
  <si>
    <r>
      <rPr>
        <b/>
        <sz val="14"/>
        <rFont val="Times New Roman"/>
        <charset val="134"/>
      </rPr>
      <t>طاقم تمريض مؤهل ومتخصص للتعامل مع الأورام و مضاعفات الكيماوى</t>
    </r>
  </si>
  <si>
    <r>
      <rPr>
        <b/>
        <sz val="14"/>
        <rFont val="Times New Roman"/>
        <charset val="134"/>
      </rPr>
      <t>ممرضة لكل ثلاثة مرضى كحد أقصى.</t>
    </r>
  </si>
  <si>
    <r>
      <rPr>
        <b/>
        <sz val="14"/>
        <rFont val="Times New Roman"/>
        <charset val="134"/>
      </rPr>
      <t>توجد مناطق منفصلة للمرضى الخارجيين والمرضى الداخليين لتجنب العدوى</t>
    </r>
  </si>
  <si>
    <r>
      <rPr>
        <b/>
        <sz val="14"/>
        <rFont val="Times New Roman"/>
        <charset val="134"/>
      </rPr>
      <t>تتوفر تهوية جيدة داخل القسم، خاصة في مناطق تحضير وإعطاء العلاج الكيميائي</t>
    </r>
  </si>
  <si>
    <r>
      <rPr>
        <b/>
        <sz val="14"/>
        <rFont val="Times New Roman"/>
        <charset val="134"/>
      </rPr>
      <t>توجد لوحات إرشادية واضحة داخل القسم لتوجيه المرضى والزوار</t>
    </r>
  </si>
  <si>
    <r>
      <rPr>
        <b/>
        <sz val="14"/>
        <rFont val="Times New Roman"/>
        <charset val="134"/>
      </rPr>
      <t>يتم تدريب الطاقم الطبي والتمريضي على بروتوكولات العلاج الكيميائي والإشعاعي</t>
    </r>
  </si>
  <si>
    <r>
      <rPr>
        <b/>
        <sz val="14"/>
        <rFont val="Times New Roman"/>
        <charset val="134"/>
      </rPr>
      <t>توجد محطات غسل أيدي ومطهرات كحولية في أماكن إستراتيجية داخل القسم</t>
    </r>
  </si>
  <si>
    <r>
      <rPr>
        <b/>
        <sz val="14"/>
        <rFont val="Times New Roman"/>
        <charset val="134"/>
      </rPr>
      <t>يتم فحص معدات وأجهزة العلاج الكيميائي والإشعاعي بإنتظام</t>
    </r>
  </si>
  <si>
    <r>
      <rPr>
        <b/>
        <sz val="14"/>
        <rFont val="Times New Roman"/>
        <charset val="134"/>
      </rPr>
      <t>توجد أسرة خاصة بإعطاء العلاج الكيميائي و الإشعاعى.</t>
    </r>
  </si>
  <si>
    <r>
      <rPr>
        <b/>
        <sz val="14"/>
        <rFont val="Times New Roman"/>
        <charset val="134"/>
      </rPr>
      <t>توجد طريقة للتعامل مع حالات الإنسكاب الكيميائي أو الحوادث داخل القسم</t>
    </r>
  </si>
  <si>
    <r>
      <rPr>
        <b/>
        <sz val="14"/>
        <rFont val="Times New Roman"/>
        <charset val="134"/>
      </rPr>
      <t>توفر عربة أدوية الطوارئ.</t>
    </r>
  </si>
  <si>
    <r>
      <rPr>
        <b/>
        <sz val="14"/>
        <rFont val="Times New Roman"/>
        <charset val="134"/>
      </rPr>
      <t>يتم تحضير أدوية العلاج الكيميائي في غرفة مخصصة بها كابينة أمان بيولوجي (BSC - Biological Safety Cabinet)</t>
    </r>
  </si>
  <si>
    <r>
      <rPr>
        <b/>
        <sz val="14"/>
        <rFont val="Times New Roman"/>
        <charset val="134"/>
      </rPr>
      <t>يوجد صيادلة مؤهلين لتحضير الأدوية الكيميائية.</t>
    </r>
  </si>
  <si>
    <r>
      <rPr>
        <b/>
        <sz val="14"/>
        <rFont val="Times New Roman"/>
        <charset val="134"/>
      </rPr>
      <t>يتم إستخدام أنظمة مغلقة لنقل الأدوية لتقليل التعرض للعلاج الكيميائي</t>
    </r>
  </si>
  <si>
    <r>
      <rPr>
        <b/>
        <sz val="14"/>
        <rFont val="Times New Roman"/>
        <charset val="134"/>
      </rPr>
      <t>يتم التحقق من هوية المريض والجرعة الصحيحة قبل إعطاء العلاج الكيميائي</t>
    </r>
  </si>
  <si>
    <r>
      <rPr>
        <b/>
        <sz val="14"/>
        <rFont val="Times New Roman"/>
        <charset val="134"/>
      </rPr>
      <t>يتم توفير معدات الوقاية الشخصية للعاملين (قفازات مزدوجة، مآزر واقية، نظارات حماية)</t>
    </r>
  </si>
  <si>
    <r>
      <rPr>
        <b/>
        <sz val="14"/>
        <rFont val="Times New Roman"/>
        <charset val="134"/>
      </rPr>
      <t>يتم توعية المريض وذويه عن المرض والتغذية السليمة مع التوثيق.</t>
    </r>
  </si>
  <si>
    <r>
      <rPr>
        <b/>
        <sz val="14"/>
        <rFont val="Times New Roman"/>
        <charset val="134"/>
      </rPr>
      <t>يوجد نموذج لتسجيل التدريب للمريض وذويه.</t>
    </r>
  </si>
  <si>
    <r>
      <rPr>
        <b/>
        <sz val="14"/>
        <rFont val="Times New Roman"/>
        <charset val="134"/>
      </rPr>
      <t>يتم إجراء صيانة دورية لأجهزة العلاج الإشعاعي لضمان دقتها</t>
    </r>
  </si>
  <si>
    <r>
      <rPr>
        <b/>
        <sz val="14"/>
        <rFont val="Times New Roman"/>
        <charset val="134"/>
      </rPr>
      <t>يتم فحص جرعة الإشعاع لكل مريض قبل بدء الجلسات</t>
    </r>
  </si>
  <si>
    <r>
      <rPr>
        <b/>
        <sz val="14"/>
        <rFont val="Times New Roman"/>
        <charset val="134"/>
      </rPr>
      <t>توجد وسائل حماية لمنع تعرض العاملين والمرضى غير المعالجين للإشعاع</t>
    </r>
  </si>
  <si>
    <r>
      <rPr>
        <b/>
        <sz val="14"/>
        <rFont val="Times New Roman"/>
        <charset val="134"/>
      </rPr>
      <t>يتم مراقبة المرضى للكشف عن الآثار الجانبية للعلاج الإشعاعي</t>
    </r>
  </si>
  <si>
    <r>
      <rPr>
        <b/>
        <sz val="14"/>
        <rFont val="Times New Roman"/>
        <charset val="134"/>
      </rPr>
      <t>يتم توفير خدمات الدعم النفسي للمرضى أثناء العلاج</t>
    </r>
  </si>
  <si>
    <r>
      <rPr>
        <b/>
        <sz val="14"/>
        <rFont val="Times New Roman"/>
        <charset val="134"/>
      </rPr>
      <t>يوجد نظام لمتابعة الحالة الصحية للمرضى بعد تلقي العلاج</t>
    </r>
  </si>
  <si>
    <r>
      <rPr>
        <b/>
        <sz val="14"/>
        <rFont val="Times New Roman"/>
        <charset val="134"/>
      </rPr>
      <t>يتم توفير دعم نفسي وإجتماعي للمرضى وأسرهم</t>
    </r>
  </si>
  <si>
    <r>
      <rPr>
        <b/>
        <sz val="14"/>
        <rFont val="Times New Roman"/>
        <charset val="134"/>
      </rPr>
      <t xml:space="preserve">يتم تسجيل ومتابعة الأعراض الجانبية للعلاج الكيميائي والإشعاعي بملف المريض. </t>
    </r>
  </si>
  <si>
    <r>
      <rPr>
        <b/>
        <sz val="14"/>
        <rFont val="Times New Roman"/>
        <charset val="134"/>
      </rPr>
      <t>يتم تقديم إستشارات غذائية للمرضى لمساعدتهم في التعامل مع الآثار الجانبية</t>
    </r>
  </si>
  <si>
    <r>
      <rPr>
        <b/>
        <sz val="14"/>
        <rFont val="Times New Roman"/>
        <charset val="134"/>
      </rPr>
      <t>يتم تقييم رضا المرضى عن الخدمات المقدمة في القسم شهريا</t>
    </r>
  </si>
  <si>
    <r>
      <rPr>
        <b/>
        <sz val="14"/>
        <rFont val="Times New Roman"/>
        <charset val="134"/>
      </rPr>
      <t>يتم التخلص من النفايات الكيميائية وفقًا للوائح البيئية</t>
    </r>
  </si>
  <si>
    <r>
      <rPr>
        <b/>
        <sz val="14"/>
        <rFont val="Times New Roman"/>
        <charset val="134"/>
      </rPr>
      <t>توجد حاويات مخصصة للنفايات الخطرة</t>
    </r>
  </si>
  <si>
    <r>
      <rPr>
        <b/>
        <sz val="14"/>
        <rFont val="Times New Roman"/>
        <charset val="134"/>
      </rPr>
      <t>يتم تدريب العاملين على التعامل مع النفايات الخطرة بطريقة آمنة</t>
    </r>
  </si>
  <si>
    <r>
      <rPr>
        <b/>
        <sz val="14"/>
        <rFont val="Times New Roman"/>
        <charset val="134"/>
      </rPr>
      <t>يتم الإحتفاظ بسجلات تفصيلية عن عمليات التخلص من النفايات الكيميائية</t>
    </r>
  </si>
  <si>
    <r>
      <rPr>
        <b/>
        <sz val="14"/>
        <rFont val="Times New Roman"/>
        <charset val="134"/>
      </rPr>
      <t>يتم الإحتفاظ بسجلات محدثة لكل مريض تشمل التشخيص، نوع العلاج، والإستجابة للعلاج</t>
    </r>
  </si>
  <si>
    <r>
      <rPr>
        <b/>
        <sz val="14"/>
        <rFont val="Times New Roman"/>
        <charset val="134"/>
      </rPr>
      <t>يتم توثيق جميع الجرعات والمواعيد العلاجية بدقة</t>
    </r>
  </si>
  <si>
    <r>
      <rPr>
        <b/>
        <sz val="14"/>
        <rFont val="Times New Roman"/>
        <charset val="134"/>
      </rPr>
      <t>يتوفر نظام لمنع الأخطاء الدوائية من خلال المراجعة الدورية للوصفات الطبية</t>
    </r>
  </si>
  <si>
    <r>
      <rPr>
        <b/>
        <sz val="14"/>
        <rFont val="Times New Roman"/>
        <charset val="134"/>
      </rPr>
      <t>يتم الإلتزام بجميع سياسات الجودة ومكافحة العدوى</t>
    </r>
  </si>
  <si>
    <r>
      <rPr>
        <b/>
        <sz val="14"/>
        <rFont val="Times New Roman"/>
        <charset val="134"/>
      </rPr>
      <t>تسجيل الأحداث الغير متوقعة</t>
    </r>
  </si>
  <si>
    <r>
      <rPr>
        <b/>
        <sz val="14"/>
        <rFont val="Times New Roman"/>
        <charset val="134"/>
      </rPr>
      <t xml:space="preserve">يوجد سياسات / بروتكولات خاصة بالقسم </t>
    </r>
  </si>
  <si>
    <r>
      <rPr>
        <b/>
        <sz val="14"/>
        <rFont val="Times New Roman"/>
        <charset val="134"/>
      </rPr>
      <t xml:space="preserve">يوجد عدد 2 حوض في غرفة كابينة تحضير العلاج </t>
    </r>
  </si>
  <si>
    <t>التشخيص عن بعد:</t>
  </si>
  <si>
    <t>التجهيزات:</t>
  </si>
  <si>
    <r>
      <rPr>
        <b/>
        <sz val="14"/>
        <rFont val="Times New Roman"/>
        <charset val="134"/>
      </rPr>
      <t xml:space="preserve">يوجد غرفة مزودة بوصلة إنترنت. </t>
    </r>
  </si>
  <si>
    <r>
      <rPr>
        <b/>
        <sz val="14"/>
        <rFont val="Times New Roman"/>
        <charset val="134"/>
      </rPr>
      <t>سرير كشف .</t>
    </r>
  </si>
  <si>
    <r>
      <rPr>
        <b/>
        <sz val="14"/>
        <rFont val="Times New Roman"/>
        <charset val="134"/>
      </rPr>
      <t>مكتب وكرسي.</t>
    </r>
  </si>
  <si>
    <r>
      <rPr>
        <b/>
        <sz val="14"/>
        <rFont val="Times New Roman"/>
        <charset val="134"/>
      </rPr>
      <t>يوجد جهاز telemedicine  : 
وهو جهاز كمبيوتر مزود بجهاز رسم قلب، سماعة، derma scope، otoscope، ophthalmoscope، scanner وprinter وسماعة بلوتوث.</t>
    </r>
  </si>
  <si>
    <r>
      <rPr>
        <b/>
        <sz val="14"/>
        <rFont val="Times New Roman"/>
        <charset val="134"/>
      </rPr>
      <t>يوجد بالغرفة ٢ تمريض .</t>
    </r>
  </si>
  <si>
    <r>
      <rPr>
        <b/>
        <sz val="14"/>
        <rFont val="Times New Roman"/>
        <charset val="134"/>
      </rPr>
      <t xml:space="preserve">يوجد سجل لتسجيل الحالات </t>
    </r>
  </si>
  <si>
    <t>مواصفات غرف العزل:</t>
  </si>
  <si>
    <r>
      <rPr>
        <b/>
        <sz val="14"/>
        <rFont val="Arial"/>
        <charset val="134"/>
      </rPr>
      <t>بعيدة عن أماكن رعاية المرضى.</t>
    </r>
  </si>
  <si>
    <r>
      <rPr>
        <b/>
        <sz val="14"/>
        <rFont val="Arial"/>
        <charset val="134"/>
      </rPr>
      <t>حوض مخصص لغسيل الأيدى .</t>
    </r>
  </si>
  <si>
    <r>
      <rPr>
        <b/>
        <sz val="14"/>
        <rFont val="Arial"/>
        <charset val="134"/>
      </rPr>
      <t>دورة مياه داخل الغرفة.</t>
    </r>
  </si>
  <si>
    <r>
      <rPr>
        <b/>
        <sz val="14"/>
        <rFont val="Arial"/>
        <charset val="134"/>
      </rPr>
      <t>مطهر للأيدى عند مدخل الغرفة.</t>
    </r>
  </si>
  <si>
    <r>
      <rPr>
        <b/>
        <sz val="14"/>
        <rFont val="Arial"/>
        <charset val="134"/>
      </rPr>
      <t>باب ذاتى الغلق.</t>
    </r>
  </si>
  <si>
    <r>
      <rPr>
        <b/>
        <sz val="14"/>
        <rFont val="Arial"/>
        <charset val="134"/>
      </rPr>
      <t>جيدة التهوية و مزودة بشفاطات سحب الهواء لخارج المنشأة .</t>
    </r>
  </si>
  <si>
    <r>
      <rPr>
        <b/>
        <sz val="14"/>
        <rFont val="Arial"/>
        <charset val="134"/>
      </rPr>
      <t>توجد غرفة ما قبل العزل لحفظ المستلزمات النظيفة  الخاصة بمرضى العزل.</t>
    </r>
  </si>
  <si>
    <t>الخدمات الطبية المساعدة:</t>
  </si>
  <si>
    <t>1. الصيدلية:</t>
  </si>
  <si>
    <t>قوائم الأدوية:</t>
  </si>
  <si>
    <r>
      <rPr>
        <b/>
        <sz val="14"/>
        <rFont val="Times New Roman"/>
        <charset val="134"/>
      </rPr>
      <t xml:space="preserve">توجد قائمة / قوائم معتمدة و محدثة:
 قائمة الأدوية الأساسية محدثة ( سنوياً)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قائمة بالأدوية الفعلية موزعة على جميع الأقسام و العيادات محدثة
 الأدوية عالية الخطورة – عالية التركيز – المتشابهة فى الشكل و النطق
 ثبات الأدوية 
 الأدوية التى تتأثر بالضوء
 الأدوية التى تحفظ بالثلاجة
 الإختصارات الدوائية الممنوعة</t>
    </r>
  </si>
  <si>
    <r>
      <rPr>
        <b/>
        <sz val="14"/>
        <rFont val="Times New Roman"/>
        <charset val="134"/>
      </rPr>
      <t xml:space="preserve">يتم وضع علاج كل مريض علي حدى وتمييز كل دواء بما يلي 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	الإسم الرباعى المريض و رقم ملفه الطبى 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	إسم الدواء و تركيزه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	الجرعة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	طريقة الإعطاء  
 	مدة العلاج  </t>
    </r>
  </si>
  <si>
    <r>
      <rPr>
        <b/>
        <sz val="14"/>
        <rFont val="Times New Roman"/>
        <charset val="134"/>
      </rPr>
      <t xml:space="preserve">توجد قائمة بأدوية الطوارئ موضح بها 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الإسم العلمي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العدد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تاريخ إنتهاء الصلاحية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رقم التشغيلة
 الشكل الدوائى</t>
    </r>
  </si>
  <si>
    <r>
      <rPr>
        <b/>
        <sz val="14"/>
        <rFont val="Times New Roman"/>
        <charset val="134"/>
      </rPr>
      <t xml:space="preserve">أدوية الطوارئ متوفرة و آمنة  </t>
    </r>
  </si>
  <si>
    <r>
      <rPr>
        <b/>
        <sz val="14"/>
        <rFont val="Times New Roman"/>
        <charset val="134"/>
      </rPr>
      <t xml:space="preserve">توجد عربة للطوارئ  بأقسام المستشفى تتوفر بها الشروط التالية: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توجد قائمة  و خريطة موحدة بالمستشفى تحدد مكونات وترتيب عربة الطوارئ.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تتوفر أجهزة ومستلزمات الطوارئ وتكون ملائمة للمرحلة العمرية 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يتم إستعاضة الأدوية والمستلزمات المستخدمة من عربة الطوارئ فور إستخدامها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التحقق من معدات ومستلزمات الطوارئ یومیاً للتأكد من توافرھا وجاھزیتھا للإستخدام ( مثل جهاز الصدمات  - المنظار الحنجرى).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تحديد مسئول عن العربة يقوم  بمراجعة هذه العربات يوميا موثق بسجل توزيع المهام.
 يقوم  صيدلي بالمرور على عربات الطوارئ  و دولاب الأدوية و يتم توثيق ذلك</t>
    </r>
  </si>
  <si>
    <r>
      <rPr>
        <b/>
        <sz val="14"/>
        <rFont val="Times New Roman"/>
        <charset val="134"/>
      </rPr>
      <t>يوجد نموذج محضر فتح عربة الطوارئ</t>
    </r>
  </si>
  <si>
    <r>
      <rPr>
        <b/>
        <sz val="14"/>
        <rFont val="Times New Roman"/>
        <charset val="134"/>
      </rPr>
      <t>يتم فصل و تمييز الأدوية عالية الخطورة – عالية التركيز – المتشابهة فى الشكل و النطق</t>
    </r>
  </si>
  <si>
    <r>
      <rPr>
        <b/>
        <sz val="14"/>
        <rFont val="Times New Roman"/>
        <charset val="134"/>
      </rPr>
      <t xml:space="preserve">يتم متابعة تسجيل درجة حرارة الثلاجة يوميا </t>
    </r>
  </si>
  <si>
    <r>
      <rPr>
        <b/>
        <sz val="14"/>
        <rFont val="Times New Roman"/>
        <charset val="134"/>
      </rPr>
      <t>متابعة تسجيل درجة الحرارة و الرطوبة فى أماكن تواجد الأدوية</t>
    </r>
  </si>
  <si>
    <r>
      <rPr>
        <b/>
        <sz val="14"/>
        <rFont val="Times New Roman"/>
        <charset val="134"/>
      </rPr>
      <t>عناصر كتابة الوصفة الطبية كاملة و واضحة و صحيحة.</t>
    </r>
  </si>
  <si>
    <r>
      <rPr>
        <b/>
        <sz val="14"/>
        <rFont val="Times New Roman"/>
        <charset val="134"/>
      </rPr>
      <t>الحصر الدورى للأدوية التى قاربت على الإنتهاء ( 6 أشهر)</t>
    </r>
  </si>
  <si>
    <r>
      <rPr>
        <b/>
        <sz val="14"/>
        <rFont val="Times New Roman"/>
        <charset val="134"/>
      </rPr>
      <t>مراعاة إشتراطات التخزين الآمن للأدوية على سبيل المثال :
 نظافة وجفاف الأماكن المُخصصة لتخزين الأدوية
 وضع أوعية الأدوية بعيدًا عن الأرض، و وضعها على أرفف، مع ترك مسافات بينها بما يسمح بالتنظيف.
 حفظ الأدوية بالثلاجة ( درجة الحرارة 2-8 م), حرارة الغرفة ( 25-30 م), و الرطوبة لا تزيد عن 65%
 حفظ الأدوية داخل عبواتها بعيداً عن الضوء المباشر.
 تمييز حاويات التخزين بملصقات تتضمن جميع المعلومات المتعلقة  بالدواء ( الإسم العلمى – التركيز – الشكل الدوائى – رقم التشغيلة)
 التهوية الجيدة بمخازن الأدوية.</t>
    </r>
    <r>
      <rPr>
        <b/>
        <sz val="14"/>
        <color rgb="FF303D47"/>
        <rFont val="Times New Roman"/>
        <charset val="134"/>
      </rPr>
      <t> </t>
    </r>
  </si>
  <si>
    <t>2. المعمل:</t>
  </si>
  <si>
    <t>تنظيم العمل:</t>
  </si>
  <si>
    <r>
      <rPr>
        <b/>
        <sz val="14"/>
        <rFont val="Times New Roman"/>
        <charset val="134"/>
      </rPr>
      <t>الخدمات المعملية متاحة 24 ساعة بالمستشفى/ الجداول المنظمة للعمل معلنة.</t>
    </r>
  </si>
  <si>
    <r>
      <rPr>
        <b/>
        <sz val="14"/>
        <rFont val="Times New Roman"/>
        <charset val="134"/>
      </rPr>
      <t>يشرف على المعمل أخصائي باثولوجيا .</t>
    </r>
  </si>
  <si>
    <r>
      <rPr>
        <b/>
        <sz val="14"/>
        <rFont val="Times New Roman"/>
        <charset val="134"/>
      </rPr>
      <t>يوجد مستند رسمى  بتكليف  شخص مؤهل (فني معمل/ كيميائي) للإشراف على خدمات وفحوصات إختبارات نقطة  الرعاية</t>
    </r>
    <r>
      <rPr>
        <b/>
        <sz val="14"/>
        <rFont val="Traditional Arabic"/>
        <charset val="134"/>
      </rPr>
      <t xml:space="preserve"> </t>
    </r>
    <r>
      <rPr>
        <b/>
        <sz val="14"/>
        <rFont val="Times New Roman"/>
        <charset val="134"/>
      </rPr>
      <t>Point of care testing)</t>
    </r>
    <r>
      <rPr>
        <b/>
        <sz val="14"/>
        <rFont val="Traditional Arabic"/>
        <charset val="134"/>
      </rPr>
      <t>)</t>
    </r>
  </si>
  <si>
    <r>
      <rPr>
        <b/>
        <sz val="14"/>
        <rFont val="Times New Roman"/>
        <charset val="134"/>
      </rPr>
      <t>إلتزام العاملين بالزي الرسمي وكارت التعريف.</t>
    </r>
  </si>
  <si>
    <r>
      <rPr>
        <b/>
        <sz val="14"/>
        <rFont val="Times New Roman"/>
        <charset val="134"/>
      </rPr>
      <t>وجود لافتة توضح إسم كل غرفة بالمعمل.</t>
    </r>
  </si>
  <si>
    <r>
      <rPr>
        <b/>
        <sz val="14"/>
        <rFont val="Times New Roman"/>
        <charset val="134"/>
      </rPr>
      <t xml:space="preserve"> يوجد مكان  و مسئول مخصص لإستلام  العينات بالمعمل. </t>
    </r>
  </si>
  <si>
    <r>
      <rPr>
        <b/>
        <sz val="14"/>
        <rFont val="Times New Roman"/>
        <charset val="134"/>
      </rPr>
      <t>وجود منطقة إنتظار آمنة ، نظيفة، جيدة التهوية وتسمح بإستيعاب أعداد المرضى بالقرب من غرفة سحب العينات.</t>
    </r>
  </si>
  <si>
    <t>سجلات المعمل:</t>
  </si>
  <si>
    <r>
      <rPr>
        <b/>
        <sz val="14"/>
        <rFont val="Times New Roman"/>
        <charset val="134"/>
      </rPr>
      <t xml:space="preserve">سجلات المعمل مرقمة ومختومة وتوضح :
 إسم المريض رباعي ورقم الملف الطبي - الرقم القومي 
 جهة المريض 
 نوع الفحص المطلوب 
 تاريخ وساعة  إستلام العينة
 إسم القائم بالفحص ثلاثي 
 تاريخ  و ساعة فحص العينة  
 إسم مسلم ومستلم النتيجة ثلاثي 
 ساعة  تسليم  النتيجة  </t>
    </r>
  </si>
  <si>
    <r>
      <rPr>
        <b/>
        <sz val="14"/>
        <rFont val="Times New Roman"/>
        <charset val="134"/>
      </rPr>
      <t xml:space="preserve">سجل العينات المرفوضة  يوضح :
 إسم المريض رباعي و رقم الملف الطبي
 التاريخ و  الساعة 
 إسم رافض العينة ثلاثياً
 إسم المبلغ ثلاثياً
 القسم 
 نوع العينة المرفوضة
 سبب الرفض 
 إسم المستلم ثلاثياً . </t>
    </r>
  </si>
  <si>
    <r>
      <rPr>
        <b/>
        <sz val="14"/>
        <rFont val="Times New Roman"/>
        <charset val="134"/>
      </rPr>
      <t>سجل لتوثيق نتيجة معايرة الأجهزة المعملية الموجودة خارج المعمل و يشمل :
 تاريخ و ساعة المعايرة
 القسم 
 نوع التحليل
 نتيجة التحليل بالقسم و نتيجة المعمل 
 مطابق / غير مطابق.
 توقيع القائم بالمعايرة بالقسم و المعمل ثلاثياً</t>
    </r>
  </si>
  <si>
    <r>
      <rPr>
        <b/>
        <sz val="14"/>
        <rFont val="Times New Roman"/>
        <charset val="134"/>
      </rPr>
      <t>يتم التسجيل في سجل النتائج الحرجة بطريقة صحيحة و  يشمل: 
 التاريخ 
 إسم المريض رباعي و رقم الملف الطبي
 ساعة إستلام العينة / الفحص
 نوع العينة / التحليل
 النتيجة الحرجة
 ساعة إكتشاف النتيجة الحرجة
 ساعة الإبلاغ
 إسم القائم بالإبلاغ ثلاثى و وظيفته
 إسم متلقى النتيجة ثلاثى و وظيفته
 وسيلة الإبلاغ
 الإجراء المتخذ من الطبيب ( قبول النتيجة – رفض – إعادة). 
 الصعوبات التي تم مواجهتها 
 فى حالة تلقى الممرضة النتيجة الحرجة يتم تسجيل ساعة إبلاغها للطبيب المعالج و توقيع الطبيب ثلاثياً.</t>
    </r>
  </si>
  <si>
    <r>
      <rPr>
        <b/>
        <sz val="14"/>
        <rFont val="Times New Roman"/>
        <charset val="134"/>
      </rPr>
      <t>سجل الأعطال.</t>
    </r>
  </si>
  <si>
    <r>
      <rPr>
        <b/>
        <sz val="14"/>
        <rFont val="Times New Roman"/>
        <charset val="134"/>
      </rPr>
      <t>سجل  تسليم النفايات.</t>
    </r>
  </si>
  <si>
    <r>
      <rPr>
        <b/>
        <sz val="14"/>
        <rFont val="Times New Roman"/>
        <charset val="134"/>
      </rPr>
      <t>سياسات المعمل:</t>
    </r>
  </si>
  <si>
    <r>
      <rPr>
        <b/>
        <sz val="14"/>
        <rFont val="Times New Roman"/>
        <charset val="134"/>
      </rPr>
      <t>وجود سياسات الجودة بالمعمل محدثه/ معتمده/ يسهل الوصول إليها (ورقيا/ الكترونيا)</t>
    </r>
  </si>
  <si>
    <r>
      <rPr>
        <b/>
        <sz val="14"/>
        <rFont val="Times New Roman"/>
        <charset val="134"/>
      </rPr>
      <t>وجود سياسات مكافحه العدوى بالمعمل محدثه/ معتمده/ يسهل الوصول إليها (ورقيا/ الكترونيا)</t>
    </r>
  </si>
  <si>
    <r>
      <rPr>
        <b/>
        <sz val="14"/>
        <rFont val="Times New Roman"/>
        <charset val="134"/>
      </rPr>
      <t>وجود الدليل التشغيلي للمعمل/ محدث/ معتمد/ يسهل الوصول إليه</t>
    </r>
  </si>
  <si>
    <t>قوائم المعمل:</t>
  </si>
  <si>
    <r>
      <rPr>
        <b/>
        <sz val="14"/>
        <rFont val="Times New Roman"/>
        <charset val="134"/>
      </rPr>
      <t>توجد قائمة بالتحاليل المتاحة وأسعارها</t>
    </r>
    <r>
      <rPr>
        <b/>
        <sz val="14"/>
        <rFont val="Traditional Arabic"/>
        <charset val="134"/>
      </rPr>
      <t xml:space="preserve"> </t>
    </r>
    <r>
      <rPr>
        <b/>
        <sz val="14"/>
        <rFont val="Times New Roman"/>
        <charset val="134"/>
      </rPr>
      <t>(معتمدة و معلنة).</t>
    </r>
  </si>
  <si>
    <r>
      <rPr>
        <b/>
        <sz val="14"/>
        <rFont val="Times New Roman"/>
        <charset val="134"/>
      </rPr>
      <t>توجد قائمة بالتحاليل الطارئة معتمدة -  معلنة -  محدثة.</t>
    </r>
  </si>
  <si>
    <r>
      <rPr>
        <b/>
        <sz val="14"/>
        <rFont val="Times New Roman"/>
        <charset val="134"/>
      </rPr>
      <t>توجد قائمة توضح الإطار الزمني لتسليم  تقارير الحالات الروتينية والطارئة</t>
    </r>
  </si>
  <si>
    <r>
      <rPr>
        <b/>
        <sz val="14"/>
        <rFont val="Times New Roman"/>
        <charset val="134"/>
      </rPr>
      <t>وجود قائمة بالنتائج الحرجة المعملية (ذات مرجع /معتمدة / مطابقه لنطاق خدمات المعمل/ معلنه بأماكن عمل التحاليل/ محدثه)</t>
    </r>
  </si>
  <si>
    <r>
      <rPr>
        <b/>
        <sz val="14"/>
        <rFont val="Times New Roman"/>
        <charset val="134"/>
      </rPr>
      <t xml:space="preserve">توجد قائمة معلنة بوقت دوران العينات الروتينية – الطارئة </t>
    </r>
  </si>
  <si>
    <r>
      <rPr>
        <b/>
        <sz val="14"/>
        <rFont val="Times New Roman"/>
        <charset val="134"/>
      </rPr>
      <t>توجد  قائمة بجميع المستلزمات و الأجهزة الموجودة  بالمعمل.</t>
    </r>
  </si>
  <si>
    <r>
      <rPr>
        <b/>
        <sz val="14"/>
        <rFont val="Times New Roman"/>
        <charset val="134"/>
      </rPr>
      <t>توجد قائمة بالكواشف (توافر الكواشف- مراجعه تواريخ الصلاحية- طريقة التخزين) مع عدم وجود كواشف منتهية الصلاحية</t>
    </r>
  </si>
  <si>
    <r>
      <rPr>
        <b/>
        <sz val="14"/>
        <rFont val="Times New Roman"/>
        <charset val="134"/>
      </rPr>
      <t xml:space="preserve">توجد قائمة بالأجهزة المعملية الموجودة خارج المعمل (Point of care testing) </t>
    </r>
  </si>
  <si>
    <r>
      <rPr>
        <b/>
        <sz val="14"/>
        <rFont val="Times New Roman"/>
        <charset val="134"/>
      </rPr>
      <t>توجد قائمة بإختبارات نقطة الرعاية (الفحوصات المعملية التي تتم بجوار المريض)</t>
    </r>
  </si>
  <si>
    <r>
      <rPr>
        <b/>
        <sz val="14"/>
        <rFont val="Times New Roman"/>
        <charset val="134"/>
      </rPr>
      <t>وجود ( قائمة) نطاق مرجعي يحدد المعدلات الطبيعية طبفا للعمر والنوع</t>
    </r>
  </si>
  <si>
    <r>
      <rPr>
        <b/>
        <sz val="14"/>
        <rFont val="Times New Roman"/>
        <charset val="134"/>
      </rPr>
      <t xml:space="preserve">التقارير الخاصة بنتائج الفحص المعملى توضح:
 إسم المستشفى
 إسم المريض رباعي - رقم الملف الطبي
 نوع التحليل المطلوب
 نتيجة الفحص 
 النسب الطبيعية طبقاً للسن ، النوع ( النطاق المرجعى) 
 توقيع فني / طبيب المعمل ثلاثي 
 ملاحظات الطبيب (إن وجدت). </t>
    </r>
  </si>
  <si>
    <r>
      <rPr>
        <b/>
        <sz val="14"/>
        <rFont val="Times New Roman"/>
        <charset val="134"/>
      </rPr>
      <t>تصدر تقارير الفحوصات المعملية خلال الإطار الزمني المحدد</t>
    </r>
  </si>
  <si>
    <t>إشتراطات السلامة بالمعمل :</t>
  </si>
  <si>
    <r>
      <rPr>
        <b/>
        <sz val="14"/>
        <rFont val="Times New Roman"/>
        <charset val="134"/>
      </rPr>
      <t>التأكد من سلامة جميع التوصيلات الكهربائية.</t>
    </r>
  </si>
  <si>
    <r>
      <rPr>
        <b/>
        <sz val="14"/>
        <rFont val="Times New Roman"/>
        <charset val="134"/>
      </rPr>
      <t xml:space="preserve">توافر حقيبة الإنسكابات الكيمائية والبيولوجية بها قائمة بالمحتويات والتأكد من وعي العاملين بها. </t>
    </r>
  </si>
  <si>
    <r>
      <rPr>
        <b/>
        <sz val="14"/>
        <rFont val="Times New Roman"/>
        <charset val="134"/>
      </rPr>
      <t>توافر ترمومتر حرارة ورطوبة لكل غرف المعمل التي تحتوي على مواد كيميائية خارج الثلاجة ووجود نموذج تسجيل الحرارة والرطوبة 3 مرات يوميا</t>
    </r>
  </si>
  <si>
    <r>
      <rPr>
        <b/>
        <sz val="14"/>
        <rFont val="Times New Roman"/>
        <charset val="134"/>
      </rPr>
      <t>توافر (صحائف الأمان للمواد ) MSDS للمواد الكيمائية الخطرة بالمعمل والعاملون على دراية بها.</t>
    </r>
  </si>
  <si>
    <r>
      <rPr>
        <b/>
        <sz val="14"/>
        <rFont val="Times New Roman"/>
        <charset val="134"/>
      </rPr>
      <t>يتم تخزين المواد الكيمائية طبقا MSDS ووضع الماسة عليها.</t>
    </r>
  </si>
  <si>
    <r>
      <rPr>
        <b/>
        <sz val="14"/>
        <rFont val="Times New Roman"/>
        <charset val="134"/>
      </rPr>
      <t>توافر وإستخدام جميع الواقيات الشخصية للعاملين طبقا لتقييم المخاطر.</t>
    </r>
  </si>
  <si>
    <r>
      <rPr>
        <b/>
        <sz val="14"/>
        <rFont val="Times New Roman"/>
        <charset val="134"/>
      </rPr>
      <t>وجود دش وغاسلة الأعين بالمعمل وعمل الفحص والصيانة الدورية لها.</t>
    </r>
  </si>
  <si>
    <r>
      <rPr>
        <b/>
        <sz val="14"/>
        <rFont val="Times New Roman"/>
        <charset val="134"/>
      </rPr>
      <t>وجود طفايات الحريق سليمة وممتلئة ويتم عمل فحص دورى لها مع وجود بوستر PASS &amp; RACE.</t>
    </r>
  </si>
  <si>
    <r>
      <rPr>
        <b/>
        <sz val="14"/>
        <rFont val="Times New Roman"/>
        <charset val="134"/>
      </rPr>
      <t>طفايات الحريق موضوعة في أماكن واضحة ، ويمكن الوصول إليها بسهولة ( على إرتفاع متر و نصف ).</t>
    </r>
  </si>
  <si>
    <r>
      <rPr>
        <b/>
        <sz val="14"/>
        <rFont val="Times New Roman"/>
        <charset val="134"/>
      </rPr>
      <t>يوجد كارت تعريف وكارت صيانة ودليل تشغيل لكل جهاز.</t>
    </r>
  </si>
  <si>
    <r>
      <rPr>
        <b/>
        <sz val="14"/>
        <rFont val="Times New Roman"/>
        <charset val="134"/>
      </rPr>
      <t>يتم عمل الفحص الدوري لكل جهاز ولكل إنذار حرج في بداية كل شفت</t>
    </r>
  </si>
  <si>
    <r>
      <rPr>
        <b/>
        <sz val="14"/>
        <rFont val="Times New Roman"/>
        <charset val="134"/>
      </rPr>
      <t>يتم عمل الصيانة الدورية وتسجيلها في كروت الصيانة دوريا (شهريا)</t>
    </r>
  </si>
  <si>
    <r>
      <rPr>
        <b/>
        <sz val="14"/>
        <rFont val="Times New Roman"/>
        <charset val="134"/>
      </rPr>
      <t xml:space="preserve">يتم عمل الصيانة العلاجية وتسجيلها في سجل الأعطال. </t>
    </r>
  </si>
  <si>
    <r>
      <rPr>
        <b/>
        <sz val="14"/>
        <rFont val="Times New Roman"/>
        <charset val="134"/>
      </rPr>
      <t xml:space="preserve">يتم عمل معايرة للأجهزة التي تحتاج معايرة. </t>
    </r>
  </si>
  <si>
    <t>ضبط الجودة  بالمعمل :</t>
  </si>
  <si>
    <r>
      <rPr>
        <b/>
        <sz val="14"/>
        <rFont val="Times New Roman"/>
        <charset val="134"/>
      </rPr>
      <t>يتم عمل ضبط الجودة الداخلي للفحوصات المختلفة.</t>
    </r>
  </si>
  <si>
    <r>
      <rPr>
        <b/>
        <sz val="14"/>
        <rFont val="Times New Roman"/>
        <charset val="134"/>
      </rPr>
      <t>يتم عمل ضبط الجودة الخارجي للفحوصات المختلفة.</t>
    </r>
  </si>
  <si>
    <r>
      <rPr>
        <b/>
        <sz val="14"/>
        <rFont val="Times New Roman"/>
        <charset val="134"/>
      </rPr>
      <t>يتم إتخاذ إجراءات تصحيحية موثقة في حالة عدم التطابق ( سواء ضبط الجودة الداخلي و الخارجى).</t>
    </r>
  </si>
  <si>
    <r>
      <rPr>
        <b/>
        <sz val="14"/>
        <rFont val="Times New Roman"/>
        <charset val="134"/>
      </rPr>
      <t>يتم مراجعة نتائج ضبط الجودة الداخلى و الخارجى شهرياً بواسطة مدير المعمل وتوثيق المراجعة.</t>
    </r>
  </si>
  <si>
    <t>إجراءات العمل :</t>
  </si>
  <si>
    <r>
      <rPr>
        <b/>
        <sz val="14"/>
        <rFont val="Times New Roman"/>
        <charset val="134"/>
      </rPr>
      <t>يتم إستلام العينات من الأقسام في راكات داخل حاوية معتمة مغلقة عليها علامة خطر بيولوجي مع نموذج طلب التحاليل للمعمل.</t>
    </r>
  </si>
  <si>
    <r>
      <rPr>
        <b/>
        <sz val="14"/>
        <rFont val="Times New Roman"/>
        <charset val="134"/>
      </rPr>
      <t>نموذج طلب التحاليل مكتمل البنود وموقع من الطبيب المعالج والقائم بسحب العينات ثلاثي.</t>
    </r>
  </si>
  <si>
    <r>
      <rPr>
        <b/>
        <sz val="14"/>
        <rFont val="Times New Roman"/>
        <charset val="134"/>
      </rPr>
      <t>تعريف  أنابيب العينات بإسم المريض رباعي ورقم الملف الطبي بعد سحب العينة وقبل مغادرة محيط المريض</t>
    </r>
  </si>
  <si>
    <r>
      <rPr>
        <b/>
        <sz val="14"/>
        <rFont val="Times New Roman"/>
        <charset val="134"/>
      </rPr>
      <t>وجود توثيق لتدريب التمريض على إستخدام الأجهزة المعملية الموجودة خارج المعمل.</t>
    </r>
  </si>
  <si>
    <r>
      <rPr>
        <b/>
        <sz val="14"/>
        <rFont val="Times New Roman"/>
        <charset val="134"/>
      </rPr>
      <t>يتم فصل والتخلص من النفايات بطريقة صحيحة بجميع غرف المعمل.</t>
    </r>
  </si>
  <si>
    <r>
      <rPr>
        <b/>
        <sz val="14"/>
        <rFont val="Times New Roman"/>
        <charset val="134"/>
      </rPr>
      <t>يوجد بالمعمل ثلاجة لحفظ الكواشف:
 يتم قياس درجة الحرارة كل 8 ساعات وتوثيقها
 توجد قائمة محدثة بمحتويات الثلاجة
 الثلاجة نظيفة ولا يوجد بها ثلج (لا يتعدى نصف سم)
 يوجد زجاجات ماء ملون فوق الدرج الاخير من الثلاجة</t>
    </r>
  </si>
  <si>
    <r>
      <rPr>
        <b/>
        <sz val="14"/>
        <rFont val="Times New Roman"/>
        <charset val="134"/>
      </rPr>
      <t>توافر ثلاجة لحفظ العينات: 
 يتم قياس درجه الحرارة كل 8 ساعات يوميا
 الثلاجة نظيفة ولا يوجد بها ثلج (لا يتعدى نصف سم)
 -يوجد زجاجات ماء ملون فوق الدرج الاخير من الثلاجة</t>
    </r>
  </si>
  <si>
    <r>
      <rPr>
        <b/>
        <sz val="14"/>
        <rFont val="Times New Roman"/>
        <charset val="134"/>
      </rPr>
      <t>وجود حوض غسل أيدي ومستلزمات غسل أيدي بكل وحدة بالإضافة إلى وجود حوض للتخلص من المواد الكيميائية.</t>
    </r>
  </si>
  <si>
    <t>معمل الميكروبيولوجي:</t>
  </si>
  <si>
    <r>
      <rPr>
        <b/>
        <sz val="14"/>
        <rFont val="Times New Roman"/>
        <charset val="134"/>
      </rPr>
      <t>منطقة التعقيم وتحضير الميديا منفصلة عن منطقة الزرع والفحص بفاصل مادي.</t>
    </r>
  </si>
  <si>
    <r>
      <rPr>
        <b/>
        <sz val="14"/>
        <rFont val="Times New Roman"/>
        <charset val="134"/>
      </rPr>
      <t>وجود أوتوكلاف لتحضير الميديا.</t>
    </r>
  </si>
  <si>
    <r>
      <rPr>
        <b/>
        <sz val="14"/>
        <rFont val="Times New Roman"/>
        <charset val="134"/>
      </rPr>
      <t>وجود أوتوكلاف لإعدام العينات .</t>
    </r>
  </si>
  <si>
    <r>
      <rPr>
        <b/>
        <sz val="14"/>
        <rFont val="Times New Roman"/>
        <charset val="134"/>
      </rPr>
      <t>وجود كابينة أمان (Safety Cabinet) .</t>
    </r>
  </si>
  <si>
    <t>تتوافر الإشتراطات التالية بمكان سحب العينات بالمعمل :</t>
  </si>
  <si>
    <r>
      <rPr>
        <b/>
        <sz val="14"/>
        <rFont val="Times New Roman"/>
        <charset val="134"/>
      </rPr>
      <t>توجد غرفة منفصلة لسحب العينات بها لافتة توضح الخدمة المقدمة بها.</t>
    </r>
  </si>
  <si>
    <r>
      <rPr>
        <b/>
        <sz val="14"/>
        <rFont val="Times New Roman"/>
        <charset val="134"/>
      </rPr>
      <t>الإعلان عن  مواعيد سحب العينات و تسليم النتائج .</t>
    </r>
  </si>
  <si>
    <r>
      <rPr>
        <b/>
        <sz val="14"/>
        <rFont val="Times New Roman"/>
        <charset val="134"/>
      </rPr>
      <t>الإلتزام بتعليمات مكافحة العدوى  بمكان سحب العينات و المعمل من حيث : 
 توافر حوض ومستلزمات غسيل الأيدي , فى حالة عدم توافر الحوض يتم الدلك بالكحول.
 توافر القفازات اللاتكس( إستخدام قفاز لكل مريض).
 فصل النفايات بطريقة صحيحة</t>
    </r>
  </si>
  <si>
    <r>
      <rPr>
        <b/>
        <sz val="14"/>
        <rFont val="Times New Roman"/>
        <charset val="134"/>
      </rPr>
      <t xml:space="preserve">تعريف العينات بإسم المريض رباعي ورقم الملف الطبي </t>
    </r>
    <r>
      <rPr>
        <b/>
        <u/>
        <sz val="14"/>
        <rFont val="Times New Roman"/>
        <charset val="134"/>
      </rPr>
      <t>بعد</t>
    </r>
    <r>
      <rPr>
        <b/>
        <sz val="14"/>
        <rFont val="Times New Roman"/>
        <charset val="134"/>
      </rPr>
      <t xml:space="preserve"> سحب العينة مباشرة  وقبل مغادرة المريض الغرفة.</t>
    </r>
  </si>
  <si>
    <r>
      <rPr>
        <b/>
        <sz val="14"/>
        <rFont val="Times New Roman"/>
        <charset val="134"/>
      </rPr>
      <t>الحفاظ على خصوصية المريض.</t>
    </r>
  </si>
  <si>
    <r>
      <rPr>
        <b/>
        <sz val="14"/>
        <rFont val="Times New Roman"/>
        <charset val="134"/>
      </rPr>
      <t>كرسى سليم للمريض و آخر للقائم بسحب العينات سهل التنظيف و التطهير .</t>
    </r>
  </si>
  <si>
    <r>
      <rPr>
        <b/>
        <sz val="14"/>
        <rFont val="Times New Roman"/>
        <charset val="134"/>
      </rPr>
      <t xml:space="preserve">وجود سجل لتسجيل العينات بغرفة السحب. </t>
    </r>
  </si>
  <si>
    <r>
      <rPr>
        <b/>
        <sz val="14"/>
        <rFont val="Times New Roman"/>
        <charset val="134"/>
      </rPr>
      <t>وجود قائمة توضح تعليمات تحضير المريض قبل سحب العينات ( حسب نوع التحليل).</t>
    </r>
  </si>
  <si>
    <t>الإجمالي</t>
  </si>
  <si>
    <t>3. الأشعة:</t>
  </si>
  <si>
    <t>البنية التحتية بالأشعة :</t>
  </si>
  <si>
    <r>
      <rPr>
        <b/>
        <sz val="14"/>
        <rFont val="Times New Roman"/>
        <charset val="134"/>
      </rPr>
      <t>قسم الأشعة مرخص.</t>
    </r>
  </si>
  <si>
    <t>التجهيزات بالأشعة :</t>
  </si>
  <si>
    <r>
      <rPr>
        <b/>
        <sz val="14"/>
        <rFont val="Times New Roman"/>
        <charset val="134"/>
      </rPr>
      <t xml:space="preserve"> جهاز أشعة مقطعية  </t>
    </r>
  </si>
  <si>
    <r>
      <rPr>
        <b/>
        <sz val="14"/>
        <rFont val="Times New Roman"/>
        <charset val="134"/>
      </rPr>
      <t xml:space="preserve"> جهاز أشعة ثابت  </t>
    </r>
  </si>
  <si>
    <r>
      <rPr>
        <b/>
        <sz val="14"/>
        <rFont val="Times New Roman"/>
        <charset val="134"/>
      </rPr>
      <t xml:space="preserve"> جهاز أشعة نقال                 </t>
    </r>
  </si>
  <si>
    <r>
      <rPr>
        <b/>
        <sz val="14"/>
        <rFont val="Times New Roman"/>
        <charset val="134"/>
      </rPr>
      <t xml:space="preserve"> جهاز أشعة تليفزيونية             </t>
    </r>
  </si>
  <si>
    <r>
      <rPr>
        <b/>
        <sz val="14"/>
        <rFont val="Times New Roman"/>
        <charset val="134"/>
      </rPr>
      <t> جهاز رنين.</t>
    </r>
  </si>
  <si>
    <r>
      <rPr>
        <b/>
        <sz val="14"/>
        <rFont val="Times New Roman"/>
        <charset val="134"/>
      </rPr>
      <t xml:space="preserve"> جهاز تحميض أوتوماتيكى </t>
    </r>
  </si>
  <si>
    <r>
      <rPr>
        <b/>
        <sz val="14"/>
        <rFont val="Times New Roman"/>
        <charset val="134"/>
      </rPr>
      <t> أخرى (تُذكر).</t>
    </r>
  </si>
  <si>
    <r>
      <rPr>
        <b/>
        <sz val="14"/>
        <rFont val="Times New Roman"/>
        <charset val="134"/>
      </rPr>
      <t xml:space="preserve">وجود وسائل قياس الإشعاع  الشخصية لكل  من يعمل بالقسم 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الأفلام الحساسة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أو دوزيمترات الجيب
 وجود توثيق لتسجيل قياس الأشعة في البيئة المحيطة بإستخدام جهاز جيجر مولر	</t>
    </r>
  </si>
  <si>
    <r>
      <rPr>
        <b/>
        <sz val="14"/>
        <rFont val="Times New Roman"/>
        <charset val="134"/>
      </rPr>
      <t>•	يتم قياس الأفلام الحساسة ( كل 6 أشهر) / دوزيمترات الجيب ( كل سنة) بصفة دورية و يتم التوثيق .</t>
    </r>
  </si>
  <si>
    <r>
      <rPr>
        <b/>
        <sz val="14"/>
        <rFont val="Times New Roman"/>
        <charset val="134"/>
      </rPr>
      <t> توجد وسائل تهوية كافية</t>
    </r>
  </si>
  <si>
    <r>
      <rPr>
        <b/>
        <sz val="14"/>
        <rFont val="Times New Roman"/>
        <charset val="134"/>
      </rPr>
      <t xml:space="preserve">  غلاف الوحدات المتنقلة تام الوقاية. </t>
    </r>
  </si>
  <si>
    <r>
      <rPr>
        <b/>
        <sz val="14"/>
        <rFont val="Times New Roman"/>
        <charset val="134"/>
      </rPr>
      <t> يوجد حاجز للوقاية من الإشعاع في غرفة التصوير ذو مساحة كافية وسمك 1 مم مكافئ .</t>
    </r>
  </si>
  <si>
    <t>إشتراطات السلامة بالأشعة :</t>
  </si>
  <si>
    <r>
      <rPr>
        <b/>
        <sz val="14"/>
        <rFont val="Times New Roman"/>
        <charset val="134"/>
      </rPr>
      <t>وجود علامات تحذيرية واضحة للعاملين والمترددين:
 ممنوع دخول الحوامل
 ممنوع دخول مرافقين
 خطر الاشعاع</t>
    </r>
  </si>
  <si>
    <r>
      <rPr>
        <b/>
        <sz val="14"/>
        <rFont val="Times New Roman"/>
        <charset val="134"/>
      </rPr>
      <t>ممنوع دخول مرافق مع المريض لعمل الأشعة إلا عند الضرورة ويتم إرتداء المرافق للمريلة المرصصة.</t>
    </r>
  </si>
  <si>
    <r>
      <rPr>
        <b/>
        <sz val="14"/>
        <rFont val="Times New Roman"/>
        <charset val="134"/>
      </rPr>
      <t>يتم غلق الباب عند عمل الأشعة</t>
    </r>
  </si>
  <si>
    <r>
      <rPr>
        <b/>
        <sz val="14"/>
        <rFont val="Times New Roman"/>
        <charset val="134"/>
      </rPr>
      <t>وجود لمبة حمراء على باب الأشعة لمنع الدخول أثناء التصوير تضئ عند عمل الأشعة.</t>
    </r>
  </si>
  <si>
    <r>
      <rPr>
        <b/>
        <sz val="14"/>
        <rFont val="Times New Roman"/>
        <charset val="134"/>
      </rPr>
      <t>يوجد ملف لكل موظف بالأشعة يحتوى على الأقل:
  الكشف الدوري كل ستة أشهر (باطنة، جلدية، رمد,  صورة دم كاملة ).
 نتيجة قياس نسبة التعرض للإشعاع.</t>
    </r>
  </si>
  <si>
    <r>
      <rPr>
        <b/>
        <sz val="14"/>
        <rFont val="Times New Roman"/>
        <charset val="134"/>
      </rPr>
      <t>وجود إجراءات متخذة  في حالة تجاوز فحص البادج فيلم/ الدوزيميتر للجرعة القصوى</t>
    </r>
    <r>
      <rPr>
        <b/>
        <sz val="14"/>
        <color rgb="FF474747"/>
        <rFont val="Arial"/>
        <charset val="134"/>
      </rPr>
      <t>(</t>
    </r>
    <r>
      <rPr>
        <b/>
        <sz val="14"/>
        <color rgb="FF474747"/>
        <rFont val="Times New Roman"/>
        <charset val="134"/>
      </rPr>
      <t xml:space="preserve"> 20 )  ﻤﻠﻲ ﺴﻴﻔﺭﺕ ﻓﻲ ﺍﻟﺴﻨﺔ</t>
    </r>
    <r>
      <rPr>
        <b/>
        <sz val="14"/>
        <color rgb="FF474747"/>
        <rFont val="Arial"/>
        <charset val="134"/>
      </rPr>
      <t xml:space="preserve"> </t>
    </r>
    <r>
      <rPr>
        <b/>
        <sz val="14"/>
        <rFont val="Times New Roman"/>
        <charset val="134"/>
      </rPr>
      <t>(إستبعاد الفني عن العمل الفني – إجراء دوائى ..........إلخ).</t>
    </r>
  </si>
  <si>
    <t>معدات الوقاية الشخصية :</t>
  </si>
  <si>
    <r>
      <rPr>
        <b/>
        <sz val="14"/>
        <rFont val="Times New Roman"/>
        <charset val="134"/>
      </rPr>
      <t xml:space="preserve">توافر معدات الحماية الشخصية: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حاجز مرصص به شباك زجاج مرصص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مرايل مرصصه معلقه بشكل صحيح على شماعة خاصه بدون طي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واقي الاعضاء التناسلية مرصص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واقي الغده الدرقية مرصص
 بارافانات مرصصة لأجهزة الأشعة المتنقلة (2 بارفان لكل جهاز)</t>
    </r>
  </si>
  <si>
    <t>القوائم :</t>
  </si>
  <si>
    <r>
      <rPr>
        <b/>
        <sz val="14"/>
        <rFont val="Times New Roman"/>
        <charset val="134"/>
      </rPr>
      <t xml:space="preserve">توجد قائمة بالإجراءات الخاصة التي يجب أن تتم تحت إشراف الطبيب </t>
    </r>
  </si>
  <si>
    <r>
      <rPr>
        <b/>
        <sz val="14"/>
        <rFont val="Times New Roman"/>
        <charset val="134"/>
      </rPr>
      <t>توجد قائمة بحصر الأجهزة الموجودة ودليل تشغيل لكل جهاز</t>
    </r>
  </si>
  <si>
    <r>
      <rPr>
        <b/>
        <sz val="14"/>
        <rFont val="Times New Roman"/>
        <charset val="134"/>
      </rPr>
      <t>قائمة النتائج الحرجة لجميع أنواع الأشعة المتاحة بالمستشفى.</t>
    </r>
  </si>
  <si>
    <r>
      <rPr>
        <b/>
        <sz val="14"/>
        <rFont val="Times New Roman"/>
        <charset val="134"/>
      </rPr>
      <t>قائمة بقياس درجة حرارة غرفة الأشعة المقطعية</t>
    </r>
  </si>
  <si>
    <r>
      <rPr>
        <b/>
        <sz val="14"/>
        <rFont val="Times New Roman"/>
        <charset val="134"/>
      </rPr>
      <t xml:space="preserve"> سجل الفحص الدوري للأجهزة كل شفت 
 سجل الأعطال 
 سجل النتائج الحرجة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معايرة  لكل الأجهزة حسب تعليمات الشركة المصنعة</t>
    </r>
    <r>
      <rPr>
        <b/>
        <sz val="14"/>
        <rFont val="Arial"/>
        <charset val="134"/>
      </rPr>
      <t xml:space="preserve">
</t>
    </r>
    <r>
      <rPr>
        <b/>
        <sz val="14"/>
        <rFont val="Traditional Arabic"/>
        <charset val="134"/>
      </rPr>
      <t></t>
    </r>
    <r>
      <rPr>
        <b/>
        <sz val="14"/>
        <rFont val="Times New Roman"/>
        <charset val="134"/>
      </rPr>
      <t xml:space="preserve"> سجل الأشعة به  الإجراء الذي تم وعدد الأفلام المستخدمة و تحديد عدد الأفلام الذي تم إعادة تصويرها بسبب رداءة نوعية الأفلام.</t>
    </r>
  </si>
  <si>
    <t>ملاحظات عامة :</t>
  </si>
  <si>
    <r>
      <rPr>
        <b/>
        <sz val="14"/>
        <rFont val="Times New Roman"/>
        <charset val="134"/>
      </rPr>
      <t>أخصائي الأشعة يقدم تقرير نهائي لكافة الإختبارات والإجراءات التشخيصية</t>
    </r>
  </si>
  <si>
    <r>
      <rPr>
        <b/>
        <sz val="14"/>
        <rFont val="Times New Roman"/>
        <charset val="134"/>
      </rPr>
      <t xml:space="preserve">تحديد إطار زمني معلن لتوافر التقارير الطارئة والروتينية وفقا لنوع الإجراء. </t>
    </r>
  </si>
  <si>
    <r>
      <rPr>
        <b/>
        <sz val="14"/>
        <rFont val="Times New Roman"/>
        <charset val="134"/>
      </rPr>
      <t>تسجيل الجرعات الإشعاعية التي يتعرض لها المرضي (نموذج تقرير الأشعة (أو نموذج خاص بذلك) - وسجل الأشعة)</t>
    </r>
  </si>
  <si>
    <r>
      <rPr>
        <b/>
        <sz val="14"/>
        <rFont val="Times New Roman"/>
        <charset val="134"/>
      </rPr>
      <t>ترصيص الجدران والأبواب (الترصيص يكون على إرتفاع 2 م علي الأقل / يتم إعادة الترخيص عند حدوث أي تغيرات).</t>
    </r>
  </si>
  <si>
    <r>
      <rPr>
        <b/>
        <sz val="14"/>
        <rFont val="Times New Roman"/>
        <charset val="134"/>
      </rPr>
      <t>يوجد مكان إنتظار للمرضي قريب من قسم الأشعة يسمح بإستيعاب أعداد المرضى، نظيف، آمن، و ذة إضاءة جيدة.</t>
    </r>
  </si>
  <si>
    <r>
      <rPr>
        <b/>
        <sz val="14"/>
        <rFont val="Times New Roman"/>
        <charset val="134"/>
      </rPr>
      <t>وجود عربة طوارئ  بالأشعة / أو بمكان قريب من القسم (خاصة في حالة وجود أشعة مقطعية – إجراء بالصبغة ............)</t>
    </r>
  </si>
  <si>
    <r>
      <rPr>
        <b/>
        <sz val="14"/>
        <rFont val="Times New Roman"/>
        <charset val="134"/>
      </rPr>
      <t>العاملون بالأشعة مدربون على كيفية التعامل مع حالات الإنعاش القلبي الرئوي الأساسى لحين وصول فريق الكود بلو.</t>
    </r>
  </si>
  <si>
    <r>
      <rPr>
        <b/>
        <sz val="14"/>
        <rFont val="Times New Roman"/>
        <charset val="134"/>
      </rPr>
      <t>وجود صحيفة  الأمان لجميع المواد الكيميائية MSDS .</t>
    </r>
  </si>
  <si>
    <r>
      <rPr>
        <b/>
        <sz val="14"/>
        <rFont val="Times New Roman"/>
        <charset val="134"/>
      </rPr>
      <t>العاملون بالأشعة مدربون على MSDS  مع التوثيق بسجل التدريب.</t>
    </r>
  </si>
  <si>
    <t>4. بنك الدم:</t>
  </si>
  <si>
    <r>
      <rPr>
        <b/>
        <sz val="14"/>
        <rFont val="Times New Roman"/>
        <charset val="134"/>
      </rPr>
      <t>تحديد بنك دم تجميعى أم تخزينى</t>
    </r>
  </si>
  <si>
    <r>
      <rPr>
        <b/>
        <sz val="14"/>
        <rFont val="Times New Roman"/>
        <charset val="134"/>
      </rPr>
      <t>يوجد مدير لبنك الدم مؤهل (أخصائي باثولوجي)</t>
    </r>
  </si>
  <si>
    <t>البنية التحتية ببنك الدم :</t>
  </si>
  <si>
    <r>
      <rPr>
        <b/>
        <sz val="14"/>
        <rFont val="Times New Roman"/>
        <charset val="134"/>
      </rPr>
      <t> بنك الدم مرخص</t>
    </r>
  </si>
  <si>
    <r>
      <rPr>
        <b/>
        <sz val="14"/>
        <rFont val="Times New Roman"/>
        <charset val="134"/>
      </rPr>
      <t> مكان للتسجيل الإدارى</t>
    </r>
  </si>
  <si>
    <r>
      <rPr>
        <b/>
        <sz val="14"/>
        <rFont val="Times New Roman"/>
        <charset val="134"/>
      </rPr>
      <t xml:space="preserve"> معمل تحاليل الدم </t>
    </r>
  </si>
  <si>
    <r>
      <rPr>
        <b/>
        <sz val="14"/>
        <rFont val="Times New Roman"/>
        <charset val="134"/>
      </rPr>
      <t> مكان لإجراء التوافق</t>
    </r>
  </si>
  <si>
    <r>
      <rPr>
        <b/>
        <sz val="14"/>
        <rFont val="Times New Roman"/>
        <charset val="134"/>
      </rPr>
      <t> مكان للإدماء ( فى حالة بنك الدم التجميعى)</t>
    </r>
  </si>
  <si>
    <r>
      <rPr>
        <b/>
        <sz val="14"/>
        <rFont val="Times New Roman"/>
        <charset val="134"/>
      </rPr>
      <t> منطقة فحص الدم ( فى حالة بنك الدم التجميعى)</t>
    </r>
  </si>
  <si>
    <r>
      <rPr>
        <b/>
        <sz val="14"/>
        <rFont val="Times New Roman"/>
        <charset val="134"/>
      </rPr>
      <t> منطقة حفظ الدم و بها ثلاجات و ديب فريزر للحفظ.</t>
    </r>
  </si>
  <si>
    <t>التجهيزات ببنك الدم :</t>
  </si>
  <si>
    <r>
      <rPr>
        <b/>
        <sz val="14"/>
        <rFont val="Times New Roman"/>
        <charset val="134"/>
      </rPr>
      <t> سنترفيوج</t>
    </r>
  </si>
  <si>
    <r>
      <rPr>
        <b/>
        <sz val="14"/>
        <rFont val="Times New Roman"/>
        <charset val="134"/>
      </rPr>
      <t> ميكروسكوب</t>
    </r>
  </si>
  <si>
    <r>
      <rPr>
        <b/>
        <sz val="14"/>
        <rFont val="Times New Roman"/>
        <charset val="134"/>
      </rPr>
      <t> جهاز لقياس الهيموجلوبين.</t>
    </r>
  </si>
  <si>
    <r>
      <rPr>
        <b/>
        <sz val="14"/>
        <rFont val="Times New Roman"/>
        <charset val="134"/>
      </rPr>
      <t> ثلاجة حفظ دم قبل الفحص</t>
    </r>
  </si>
  <si>
    <r>
      <rPr>
        <b/>
        <sz val="14"/>
        <rFont val="Times New Roman"/>
        <charset val="134"/>
      </rPr>
      <t> ثلاجة حفظ دم بعد الفحص بجهازإنذار صوتى ومؤشر لدرجة الحرارة</t>
    </r>
  </si>
  <si>
    <r>
      <rPr>
        <b/>
        <sz val="14"/>
        <rFont val="Times New Roman"/>
        <charset val="134"/>
      </rPr>
      <t> يوجد ديب فريزر لحفظ البلازما بجهازإنذار صوتى ومؤشر لدرجة الحرارة</t>
    </r>
  </si>
  <si>
    <r>
      <rPr>
        <b/>
        <sz val="14"/>
        <rFont val="Times New Roman"/>
        <charset val="134"/>
      </rPr>
      <t xml:space="preserve"> جهاز خلط الدم أو جهاز هزاز أثناء التبرع (بغرفة  الإدماء فى حالة بنك الدم التجميعى) )   </t>
    </r>
  </si>
  <si>
    <r>
      <rPr>
        <b/>
        <sz val="14"/>
        <rFont val="Times New Roman"/>
        <charset val="134"/>
      </rPr>
      <t> نظام إليزا لفحص االمراض المعدية عن طريق نقل الدم</t>
    </r>
  </si>
  <si>
    <r>
      <rPr>
        <b/>
        <sz val="14"/>
        <rFont val="Times New Roman"/>
        <charset val="134"/>
      </rPr>
      <t> جهاز هزاز و دوارلحفظ الصفائح الدموية في درجة حرارة الغرفة) 22-24) درجة مئوية.</t>
    </r>
  </si>
  <si>
    <r>
      <rPr>
        <b/>
        <sz val="14"/>
        <rFont val="Times New Roman"/>
        <charset val="134"/>
      </rPr>
      <t> ثلاجة نقل الدم بين المستشفيات (كولمان خاص)</t>
    </r>
  </si>
  <si>
    <r>
      <rPr>
        <b/>
        <sz val="14"/>
        <rFont val="Times New Roman"/>
        <charset val="134"/>
      </rPr>
      <t> أسرة لسحب الدم من المتبرعين.</t>
    </r>
  </si>
  <si>
    <r>
      <rPr>
        <b/>
        <sz val="14"/>
        <rFont val="Times New Roman"/>
        <charset val="134"/>
      </rPr>
      <t> جهازفصل البلازما اليدوى</t>
    </r>
  </si>
  <si>
    <r>
      <rPr>
        <b/>
        <sz val="14"/>
        <rFont val="Times New Roman"/>
        <charset val="134"/>
      </rPr>
      <t> ميزان كهربائي حساس لوزن مشتقات الدم</t>
    </r>
  </si>
  <si>
    <r>
      <rPr>
        <b/>
        <sz val="14"/>
        <rFont val="Times New Roman"/>
        <charset val="134"/>
      </rPr>
      <t> ميزان أشخاص</t>
    </r>
  </si>
  <si>
    <r>
      <rPr>
        <b/>
        <sz val="14"/>
        <rFont val="Times New Roman"/>
        <charset val="134"/>
      </rPr>
      <t> جهاز تكييف.</t>
    </r>
  </si>
  <si>
    <r>
      <rPr>
        <b/>
        <sz val="14"/>
        <rFont val="Times New Roman"/>
        <charset val="134"/>
      </rPr>
      <t> حمام مائى متغير</t>
    </r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</si>
  <si>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سجل التبرع
</t>
    </r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سجل نتائج فحص أكياس الدم
</t>
    </r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سجل الصرف
</t>
    </r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سجلات تتبع الدم بدءاً من التبرع حتي الإعطاء
</t>
    </r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سجل إعدام الدم ومحاضر الإعدام
</t>
    </r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سجل المرتجع
</t>
    </r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سجل الأمانات ( سجل تتبع جميع وحدات الدم ومشتقاته، بدءًا من التبرع وحتى صرفها للمريض).
</t>
    </r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سجل الإنذارات الحرجة
</t>
    </r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سجل الأعطال
 سجل حصر الأجهزة</t>
    </r>
  </si>
  <si>
    <t>النماذج  ببنك الدم :</t>
  </si>
  <si>
    <r>
      <rPr>
        <b/>
        <sz val="14"/>
        <rFont val="Symbol"/>
        <charset val="134"/>
      </rPr>
      <t></t>
    </r>
    <r>
      <rPr>
        <b/>
        <sz val="14"/>
        <rFont val="Times New Roman"/>
        <charset val="134"/>
      </rPr>
      <t xml:space="preserve"> إستمارات التبرع
 نماذج تسليم الدم</t>
    </r>
  </si>
  <si>
    <r>
      <rPr>
        <b/>
        <sz val="14"/>
        <rFont val="Times New Roman"/>
        <charset val="134"/>
      </rPr>
      <t>وجود لافتة بممنوع دخول غير العاملين لمنطقة  فحص وحفظ الدم</t>
    </r>
  </si>
  <si>
    <t>مواصفات كيس الدم :</t>
  </si>
  <si>
    <r>
      <rPr>
        <b/>
        <sz val="14"/>
        <rFont val="Times New Roman"/>
        <charset val="134"/>
      </rPr>
      <t xml:space="preserve">توجد البيانات الأساسية على  كيس الدم على الأقل 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رقم الكيس
 رقم التتبع (رقم اللي)
 إسم بنك الدم
 الفصيلة
 نتيجة فحص عامل ريساس
 نتيجة فحص الفيروسات
 درجة حرارة التخزين
 تاريخ الإدماء وتاريخ الإنتهاء ( الصلاحية)</t>
    </r>
  </si>
  <si>
    <r>
      <rPr>
        <b/>
        <sz val="14"/>
        <rFont val="Times New Roman"/>
        <charset val="134"/>
      </rPr>
      <t xml:space="preserve">مراعاة شروط تخزين أكياس الدم: 
 أكياس الدم :  2- 6 درجة مئوية ( لمدة 42 يوم).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البلازما : 0 – ( -18  أو أقل ) درجة مئوية ( حفظها يصل لمدة عام).
 الصفائح الدموية: 22 – 24 درجة مئوية ( 3-5 أيام).</t>
    </r>
  </si>
  <si>
    <r>
      <rPr>
        <b/>
        <sz val="14"/>
        <rFont val="Times New Roman"/>
        <charset val="134"/>
      </rPr>
      <t>تسجيل درجات حرارة ثلاجات حفظ الدم</t>
    </r>
  </si>
  <si>
    <t>الخدمات المساعدة غير الطبية :</t>
  </si>
  <si>
    <t>1. وحدة التعقيم المركزى:</t>
  </si>
  <si>
    <t>أولا: تجهيزات الوحدة:</t>
  </si>
  <si>
    <r>
      <rPr>
        <b/>
        <sz val="14"/>
        <rFont val="Times New Roman"/>
        <charset val="134"/>
      </rPr>
      <t xml:space="preserve">ملاحظـــة مسار إعادة معالجة و إستخدام الآلات 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وجود مدخل لاستلام الأدوات الملوثة 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وجود منطقة لتنظيف الأدوات الملوثة 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منطقة تطهير.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منطقة تجفيف الآلات ثم الفحص و الفرز 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منطقة التغليف 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منطقة التعقيم 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منطقة التخزين .
 منطقة مخرج لتسليم الآلات المعقمة .</t>
    </r>
  </si>
  <si>
    <r>
      <rPr>
        <b/>
        <sz val="14"/>
        <rFont val="Times New Roman"/>
        <charset val="134"/>
      </rPr>
      <t>يوجد فاصل مادى بين مناطق مراحل التعقيم المختلفة .</t>
    </r>
  </si>
  <si>
    <r>
      <rPr>
        <b/>
        <sz val="14"/>
        <rFont val="Times New Roman"/>
        <charset val="134"/>
      </rPr>
      <t>فى حالة عدم وجود باب واحد  يتم الإلتزام بفاصل زمنى معلن و معتمد</t>
    </r>
  </si>
  <si>
    <r>
      <rPr>
        <b/>
        <sz val="14"/>
        <rFont val="Times New Roman"/>
        <charset val="134"/>
      </rPr>
      <t>إلتزام العاملون بمسار إعادة معالجة الآلات.</t>
    </r>
  </si>
  <si>
    <r>
      <rPr>
        <b/>
        <sz val="14"/>
        <rFont val="Times New Roman"/>
        <charset val="134"/>
      </rPr>
      <t xml:space="preserve">ملاحظـــة الأجهزة و الأثاث )ماكينة التنظيف– الأوتوكلاف – ماكينة التغليف– حاويات نقل الأدوات – التربيزات و الكراسى .. إلخ: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	سليمة.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	نظيفة .
 	يتم التطهير يومياً ( 1 لتر ماء إلى 20 ملل).</t>
    </r>
  </si>
  <si>
    <r>
      <rPr>
        <b/>
        <sz val="14"/>
        <rFont val="Times New Roman"/>
        <charset val="134"/>
      </rPr>
      <t>الإلتزام بجدول النظافة و الجرد.</t>
    </r>
  </si>
  <si>
    <t>ثانيا : ملاحظـــة المستلزمات :</t>
  </si>
  <si>
    <r>
      <rPr>
        <b/>
        <sz val="14"/>
        <rFont val="Times New Roman"/>
        <charset val="134"/>
      </rPr>
      <t>توافر المستلزمات الأساسية لمكافحة العدوى :
حوض لغسيل الأيدي - صابون الأيدى و الأرضيات – مناديل أو فوط تجفيف الأيدى - قفازات شديدة التحمل و ذات الإستخدام الواحد - مريلة بلاستيكية .- نظارات واقية – ماسك - غطاء للرأس ( أوفر هيد ) - سابوه مقفول .</t>
    </r>
  </si>
  <si>
    <r>
      <rPr>
        <b/>
        <sz val="14"/>
        <rFont val="Times New Roman"/>
        <charset val="134"/>
      </rPr>
      <t>توافرالكواشف اللازمة للتأكد من سلامة التعقيم .</t>
    </r>
  </si>
  <si>
    <r>
      <rPr>
        <b/>
        <sz val="14"/>
        <rFont val="Times New Roman"/>
        <charset val="134"/>
      </rPr>
      <t>توافر ورق الكريب و الرول اللازم للتغليف .</t>
    </r>
  </si>
  <si>
    <r>
      <rPr>
        <b/>
        <sz val="14"/>
        <rFont val="Times New Roman"/>
        <charset val="134"/>
      </rPr>
      <t>توافرالشاش- القطن – الدرسنج .</t>
    </r>
  </si>
  <si>
    <t xml:space="preserve"> إجراءات العمل:</t>
  </si>
  <si>
    <r>
      <rPr>
        <b/>
        <sz val="14"/>
        <rFont val="Times New Roman"/>
        <charset val="134"/>
      </rPr>
      <t>يتم الإلتزام بإجراءات إعادة معالجة الأدوات و الآلات طبقاً لسياسة مكافحة العدوى.</t>
    </r>
  </si>
  <si>
    <r>
      <rPr>
        <b/>
        <sz val="14"/>
        <rFont val="Times New Roman"/>
        <charset val="134"/>
      </rPr>
      <t>ضبط الأوتوكلاف بالنسبة لتعقيم الأدوات المغلقة أو منسوجات :
 121 درجة مئوية لمدة 30 دقيقة وضغط يعادل 1 بار .
 134 درجة مئوية لمدة 15 دقيقة وضغط يعادل 2 بار .</t>
    </r>
  </si>
  <si>
    <r>
      <rPr>
        <b/>
        <sz val="14"/>
        <rFont val="Times New Roman"/>
        <charset val="134"/>
      </rPr>
      <t xml:space="preserve">تخزين الآلات و المعدات و الباكيتات المعقمة: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يجب أن يتم التخزين على أرفف بعيدة عن الأرض.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يجب أن يتم التخزين على الرف الأسفل أولاً ما هو أحدث تاريخاً.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يجب أن يتم الاستخدام من الأقدم تاريخاً للتعقيم.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تعتبر العبوة المغلفة معقمة طالما أنها سليمة وجافة و سارية الصلاحية 
 تسجيل تاريخ بداية و نهاية التعقيم و إسم القائم بالتغليف ثلاثياً على كل عبوة بطريقة تضمن سلامة التعقيم.</t>
    </r>
  </si>
  <si>
    <r>
      <rPr>
        <b/>
        <sz val="14"/>
        <rFont val="Times New Roman"/>
        <charset val="134"/>
      </rPr>
      <t>وجود كارت تعريف وكارت صيانة ودليل تشغيل لكل جهاز.</t>
    </r>
  </si>
  <si>
    <r>
      <rPr>
        <b/>
        <sz val="14"/>
        <rFont val="Times New Roman"/>
        <charset val="134"/>
      </rPr>
      <t xml:space="preserve">ملاحظـــة  التكييف بغرفة التعقيم 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نظيف 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تاريخ مدة تغير الفلاتر .
 تعمل بكفاءة .</t>
    </r>
  </si>
  <si>
    <t>متابعة كفاءة التعقيم بجهاز الأوتوكلاف :</t>
  </si>
  <si>
    <r>
      <rPr>
        <b/>
        <sz val="14"/>
        <rFont val="Times New Roman"/>
        <charset val="134"/>
      </rPr>
      <t>يتم تخصيص سجل لكل جهاز على حدة .</t>
    </r>
  </si>
  <si>
    <r>
      <rPr>
        <b/>
        <sz val="14"/>
        <rFont val="Times New Roman"/>
        <charset val="134"/>
      </rPr>
      <t xml:space="preserve"> يتم عمل الإختبارات اللازمة للتأكد من سلامة التعقيم 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يتم عمل  إختبار البوفيدك مع بداية كل يوم عمل و توضع بالسجل الخاص بالجهاز.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توضع كواشف كيميائية خارجية  و داخلية يتغير لونها عند الوصول إلى درجة الحررة المطلوبة ( class 4/ 5/ 6).
</t>
    </r>
    <r>
      <rPr>
        <b/>
        <sz val="14"/>
        <rFont val="Wingdings"/>
        <charset val="2"/>
      </rPr>
      <t></t>
    </r>
    <r>
      <rPr>
        <b/>
        <sz val="14"/>
        <rFont val="Times New Roman"/>
        <charset val="134"/>
      </rPr>
      <t xml:space="preserve"> يجب أن يتم إجراء الإختبار بإستخدام المؤشرات البيولوجية: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عند بداية تشغيل جهاز الأوتوكلاف لأول مرة 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كل شهر ( على الأكثر).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في حالة حدوث أعطال بالجهاز 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بعد إجراء عمليات صيانة للجهاز.
 قبل العمليات  الكبرى للعظام.</t>
    </r>
  </si>
  <si>
    <r>
      <rPr>
        <b/>
        <sz val="14"/>
        <rFont val="Times New Roman"/>
        <charset val="134"/>
      </rPr>
      <t>يوجد سجل لإستلام الآلات الملوثة.</t>
    </r>
  </si>
  <si>
    <t xml:space="preserve"> </t>
  </si>
  <si>
    <r>
      <rPr>
        <b/>
        <sz val="14"/>
        <rFont val="Times New Roman"/>
        <charset val="134"/>
      </rPr>
      <t>يوجد سجل لتسليم  الآلات المعقمة و المطهرة.</t>
    </r>
  </si>
  <si>
    <r>
      <rPr>
        <b/>
        <sz val="14"/>
        <rFont val="Times New Roman"/>
        <charset val="134"/>
      </rPr>
      <t>سجل لكل جهاز أوتوكلاف على حدة  (سجل كفاءه التعقيم) , و يشمل :
التاريخ و الساعة – درجة الحرارة – الضغط – رقم دورة النعقيم بالجهاز – نتيجة المؤشر.</t>
    </r>
  </si>
  <si>
    <r>
      <rPr>
        <b/>
        <sz val="14"/>
        <rFont val="Times New Roman"/>
        <charset val="134"/>
      </rPr>
      <t>سجل التعقيم يحتوي على:
 التاريخ- الساعة- رقم دورة التعقيم – نوع الأدوات في كل دورة ( آلات / منسوجات)- رقم الأوتوكلاف المستخدم- إسم القائم بالتعقيم.</t>
    </r>
  </si>
  <si>
    <r>
      <rPr>
        <b/>
        <sz val="14"/>
        <rFont val="Times New Roman"/>
        <charset val="134"/>
      </rPr>
      <t xml:space="preserve">سجلات متابعة كفاءة التعقيم بجهاز الأوتوكلاف: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تسجيل الكواشف الكيميائية لكل دورة (مؤشر من الكلاس 4 على الأقل)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تسجيل مؤشر البوفيدك يوميا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تسجيل المؤشر البيولوجي 
 الإجراء التصحيحي المتخذ في حالة ان المؤشر إيجابي.</t>
    </r>
  </si>
  <si>
    <r>
      <rPr>
        <b/>
        <sz val="14"/>
        <rFont val="Times New Roman"/>
        <charset val="134"/>
      </rPr>
      <t>وجود سجل صيانة دورية للأوتوكلاف.</t>
    </r>
  </si>
  <si>
    <r>
      <rPr>
        <b/>
        <sz val="14"/>
        <rFont val="Times New Roman"/>
        <charset val="134"/>
      </rPr>
      <t>وجود سجل أعطال.</t>
    </r>
  </si>
  <si>
    <r>
      <rPr>
        <b/>
        <sz val="14"/>
        <rFont val="Times New Roman"/>
        <charset val="134"/>
      </rPr>
      <t>فى حالة وجود منظار , يوجد سجل يشمل الآتى على الأقل:
التاريخ – اليوم – نوع المنظار – رقم المنظار- تاريخ  تحضير السايديكس – ساعة بدء التطهير – ساعة الإنتهاء من التطهير- رقم الدورة - إســم الممرضة ثلاثياً.</t>
    </r>
  </si>
  <si>
    <t>القوائم – جداول تنظيف :</t>
  </si>
  <si>
    <r>
      <rPr>
        <b/>
        <sz val="14"/>
        <rFont val="Times New Roman"/>
        <charset val="134"/>
      </rPr>
      <t>يوجد قائمة بمستوى المخزون المطلوب من المواد المعقمة .</t>
    </r>
  </si>
  <si>
    <r>
      <rPr>
        <b/>
        <sz val="14"/>
        <rFont val="Times New Roman"/>
        <charset val="134"/>
      </rPr>
      <t>يوجد جدول النظافة اليومى – الجرد الشهرى و يتم الإلتزام به.</t>
    </r>
  </si>
  <si>
    <t>2. وحدة غسيل المفروشات:</t>
  </si>
  <si>
    <t>أولاً : تجهيزات المغسلة :</t>
  </si>
  <si>
    <r>
      <rPr>
        <b/>
        <sz val="14"/>
        <rFont val="Times New Roman"/>
        <charset val="134"/>
      </rPr>
      <t xml:space="preserve">ملاحظـــة مسار إستلام المفروشات الملوثة حتى تسليمها نظيفة لأقسام المستشفى: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وجود مدخل لإستلام و فرز المفروشات الملوثة 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وجود منطقة لتنظيف المفروشات الملوثة 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وجود منطقة تجفيف المفروشات النظيفة 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وجود منطقة فرز المفروشات النظيفة و حياكة الممزق منها.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وجود منطقة كــى المفروشات النظيفة 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وجود منطقة تخزين المفروشات النظيفة 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وجود منطقة مخرج لتسليم  المفروشات النظيفة .
 وجود منطقة لحفظ  المواد الكيماوية.</t>
    </r>
  </si>
  <si>
    <r>
      <rPr>
        <b/>
        <sz val="14"/>
        <rFont val="Times New Roman"/>
        <charset val="134"/>
      </rPr>
      <t>يوجد فاصل مادى بين مناطق مراحل غسيل المفروشات المختلفة.</t>
    </r>
  </si>
  <si>
    <r>
      <rPr>
        <b/>
        <sz val="14"/>
        <rFont val="Times New Roman"/>
        <charset val="134"/>
      </rPr>
      <t>فى حالة وجود مدخل واحد  يتم الإلتزام بفاصل زمنى معلن و معتمد.</t>
    </r>
  </si>
  <si>
    <r>
      <rPr>
        <b/>
        <sz val="14"/>
        <rFont val="Times New Roman"/>
        <charset val="134"/>
      </rPr>
      <t>إلتزام العاملون بمسار غسيل المفروشات.</t>
    </r>
  </si>
  <si>
    <r>
      <rPr>
        <b/>
        <sz val="14"/>
        <rFont val="Times New Roman"/>
        <charset val="134"/>
      </rPr>
      <t xml:space="preserve">ملاحظـــة الأجهزة و الأثاث ( غسالات التنظيف - حاويات نقل المفروشات الملوثة و النظيفة    – الترابيزات و الكراسى...الخ...)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سليمة.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نظيفة .
 يتم التطهير يوميا ( 1 لتر ماء إلى 20 ملل كلور)  </t>
    </r>
  </si>
  <si>
    <t xml:space="preserve">   ثانيا : ملاحظـــة المستلزمات :</t>
  </si>
  <si>
    <r>
      <rPr>
        <b/>
        <sz val="14"/>
        <rFont val="Times New Roman"/>
        <charset val="134"/>
      </rPr>
      <t>المنظفات اللازمة .</t>
    </r>
  </si>
  <si>
    <r>
      <rPr>
        <b/>
        <sz val="14"/>
        <rFont val="Times New Roman"/>
        <charset val="134"/>
      </rPr>
      <t>مواد كيماوية مثل الخل لمنع إصفرار المنسوجات.</t>
    </r>
  </si>
  <si>
    <r>
      <rPr>
        <b/>
        <sz val="14"/>
        <rFont val="Times New Roman"/>
        <charset val="134"/>
      </rPr>
      <t>مواد تبييض لكي تعمل على تقليل نشاط الميكروبات التي تتواجد بالمفروشات .</t>
    </r>
  </si>
  <si>
    <r>
      <rPr>
        <b/>
        <sz val="14"/>
        <rFont val="Times New Roman"/>
        <charset val="134"/>
      </rPr>
      <t>حاويات لنقل المفروشات الملوثة و النظيفة .</t>
    </r>
  </si>
  <si>
    <r>
      <rPr>
        <b/>
        <sz val="14"/>
        <rFont val="Times New Roman"/>
        <charset val="134"/>
      </rPr>
      <t>أرفف خاصة لتخزين  المفروشات النظيفة .</t>
    </r>
  </si>
  <si>
    <r>
      <rPr>
        <b/>
        <sz val="14"/>
        <rFont val="Times New Roman"/>
        <charset val="134"/>
      </rPr>
      <t>ترابيزات لفرز المفروشات الملوثة و النظيفة .</t>
    </r>
  </si>
  <si>
    <t xml:space="preserve">   بيئـة العمـل :</t>
  </si>
  <si>
    <r>
      <rPr>
        <b/>
        <sz val="14"/>
        <rFont val="Times New Roman"/>
        <charset val="134"/>
      </rPr>
      <t>يتم الإلتزام بإجراءات العمل داخل المغسلة طبقاً لسياسة مكافحة العدوى.</t>
    </r>
  </si>
  <si>
    <r>
      <rPr>
        <b/>
        <sz val="14"/>
        <rFont val="Times New Roman"/>
        <charset val="134"/>
      </rPr>
      <t xml:space="preserve"> تخزين المفروشات النظيفة 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يتم التخزين على أرفف أو دواليب أو عربات خاصة بذلك لحين توزيعها على الأقسام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مكان التخزين نظيف .
 منظم و مرتب .</t>
    </r>
  </si>
  <si>
    <r>
      <rPr>
        <b/>
        <sz val="14"/>
        <rFont val="Times New Roman"/>
        <charset val="134"/>
      </rPr>
      <t>يجب الحفاظ على بيئة المغسلة دائماً نظيفة وجافة و خالية من الأتربة.</t>
    </r>
  </si>
  <si>
    <r>
      <rPr>
        <b/>
        <sz val="14"/>
        <rFont val="Times New Roman"/>
        <charset val="134"/>
      </rPr>
      <t>يتم تطهير  باب الغسالة بعد كل مرة يتم  وضع المفروشات الملوثة بها  .</t>
    </r>
  </si>
  <si>
    <t xml:space="preserve">    السجلات :</t>
  </si>
  <si>
    <r>
      <rPr>
        <b/>
        <sz val="14"/>
        <rFont val="Times New Roman"/>
        <charset val="134"/>
      </rPr>
      <t>يوجد سجل لإستلام المفروشات الملوثة من الأقسام.</t>
    </r>
  </si>
  <si>
    <r>
      <rPr>
        <b/>
        <sz val="14"/>
        <rFont val="Times New Roman"/>
        <charset val="134"/>
      </rPr>
      <t>يوجد سجل تسليم المفروشات النظيفة للأقسام.</t>
    </r>
  </si>
  <si>
    <r>
      <rPr>
        <b/>
        <sz val="14"/>
        <rFont val="Times New Roman"/>
        <charset val="134"/>
      </rPr>
      <t>يوجد سجل تسليم مفروشات العمليات النظيفة لوحدة التعقيم المركزى.</t>
    </r>
  </si>
  <si>
    <r>
      <rPr>
        <b/>
        <sz val="14"/>
        <rFont val="Times New Roman"/>
        <charset val="134"/>
      </rPr>
      <t>سجل الصيانة الدورية.</t>
    </r>
  </si>
  <si>
    <r>
      <rPr>
        <b/>
        <sz val="14"/>
        <rFont val="Times New Roman"/>
        <charset val="134"/>
      </rPr>
      <t>سجل أعطال.</t>
    </r>
  </si>
  <si>
    <t>3. وحدة التغذية ( المطبخ):</t>
  </si>
  <si>
    <t>أولا : تصميم مطبخ المستشفى:</t>
  </si>
  <si>
    <r>
      <rPr>
        <b/>
        <sz val="14"/>
        <rFont val="Times New Roman"/>
        <charset val="134"/>
      </rPr>
      <t xml:space="preserve">الأقسام المختلفة للمطبخ :    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مكتب إستقبال و إستلام الأطعمة 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منطقة تخزين.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منطقة غسيل الأواني والأدوات.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منطقة تحضير وتجهيز الطعام.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منطقة تجهيز وجبات الرايل.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منطقة الطهي.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منطقة التوزيع.
 مكان مخصص لتغيير ملابس العاملين بالمطبخ .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حوض أو أحواض مخصصة لغسل الأيدي .</t>
    </r>
  </si>
  <si>
    <t>مسار العمل في المطبخ :</t>
  </si>
  <si>
    <r>
      <rPr>
        <b/>
        <sz val="14"/>
        <rFont val="Times New Roman"/>
        <charset val="134"/>
      </rPr>
      <t>تحديد مسار واضح ومعلن لإيضاح مسار دخول الأطعمة المختلفة وأماكن تخزينها وإعدادها.</t>
    </r>
  </si>
  <si>
    <r>
      <rPr>
        <b/>
        <sz val="14"/>
        <rFont val="Times New Roman"/>
        <charset val="134"/>
      </rPr>
      <t>الإلتزام بالمسار إلى الأمام وعدم إتخاذ خطوات للرجوع أثناء العمل.</t>
    </r>
  </si>
  <si>
    <t>ملاحظـــة المستلزمات :</t>
  </si>
  <si>
    <r>
      <rPr>
        <b/>
        <sz val="14"/>
        <rFont val="Times New Roman"/>
        <charset val="134"/>
      </rPr>
      <t>توافر المستلزمات الأساسية  لمكافحة العدوى:
حوض لغسيل الأيدي - صابون الأيدى و الأرضيات – مناديل أو فوط تجفيف الأيدى - قفازات شديدة التحمل و ذات الإستخدام الواحد - مريلة بلاستيكية .- نظارات واقية – ماسك - غطاء للرأس يغطي شعر الرأس كله - سابوه  مقفول لا يسمح بالإنزلاق و  يمكن غسله - وجود سلة مهملات بغطاء في كل مكان تجهيز.</t>
    </r>
  </si>
  <si>
    <r>
      <rPr>
        <b/>
        <sz val="14"/>
        <rFont val="Times New Roman"/>
        <charset val="134"/>
      </rPr>
      <t>يوجد أحواض منفصلة لكل من (اللحوم/الخضراوات والفواكه/غسيل الأواني والأدوات/غسيل الأيدي).</t>
    </r>
  </si>
  <si>
    <r>
      <rPr>
        <b/>
        <sz val="14"/>
        <rFont val="Times New Roman"/>
        <charset val="134"/>
      </rPr>
      <t>الإلتزام بالألوان القياسية العالمية للسكاكين و البلنشات :  
 الأحمر : للحوم 
 الأصفر: للدواجن
 الأزرق : الأسماك
 الأخضر : خضراوات
 الأبيض : الساندويتشات و الجبن</t>
    </r>
  </si>
  <si>
    <r>
      <rPr>
        <b/>
        <sz val="14"/>
        <rFont val="Times New Roman"/>
        <charset val="134"/>
      </rPr>
      <t xml:space="preserve">يوجد ملصق تعريفى على كل وجبة تشمل :  
 الإسم الرباعى للمريض 
 رقم الملف
 القسم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نوع الوجبة.
بالنسبة  لوجبات الرايل يضاف للملصق التعريفى تاريخ و ساعة تحضير الوجبة</t>
    </r>
  </si>
  <si>
    <r>
      <rPr>
        <b/>
        <sz val="14"/>
        <rFont val="Times New Roman"/>
        <charset val="134"/>
      </rPr>
      <t>مراعاة قواعد الصحة العامة للعاملين بالمطبخ.</t>
    </r>
  </si>
  <si>
    <t>الجداول – القوائم – الشهادات الصحية :</t>
  </si>
  <si>
    <r>
      <rPr>
        <b/>
        <sz val="14"/>
        <rFont val="Times New Roman"/>
        <charset val="134"/>
      </rPr>
      <t>وجود شهادة صحية صالحة بالخلو من الأمراض المعدية تُجدد سنوياً.</t>
    </r>
  </si>
  <si>
    <r>
      <rPr>
        <b/>
        <sz val="14"/>
        <rFont val="Times New Roman"/>
        <charset val="134"/>
      </rPr>
      <t>وجود جداول تنظيف يومية وأسبوعية وشهرية طبقاً لتعليمات مكافحة العدوى.</t>
    </r>
  </si>
  <si>
    <r>
      <rPr>
        <b/>
        <sz val="14"/>
        <rFont val="Times New Roman"/>
        <charset val="134"/>
      </rPr>
      <t>الإلتزام بجداول التنظيف اليومي والأسبوعي والشهري مع التوثيق.</t>
    </r>
  </si>
  <si>
    <r>
      <rPr>
        <b/>
        <sz val="14"/>
        <rFont val="Times New Roman"/>
        <charset val="134"/>
      </rPr>
      <t xml:space="preserve">توجد قائمة بالوجبات ( دليل الوجبات) تتناسب مع :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التشخيص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السن 
 النوع</t>
    </r>
  </si>
  <si>
    <r>
      <rPr>
        <b/>
        <sz val="14"/>
        <rFont val="Times New Roman"/>
        <charset val="134"/>
      </rPr>
      <t>يتم تسجيل درجات حرارة الثلاجات و المبردات مرتين على الأقل يومياً.</t>
    </r>
  </si>
  <si>
    <r>
      <rPr>
        <b/>
        <sz val="14"/>
        <rFont val="Times New Roman"/>
        <charset val="134"/>
      </rPr>
      <t>يتم تسجيل درجة حرارة و رطوبة غرفة التخزين الجاف.</t>
    </r>
  </si>
  <si>
    <r>
      <rPr>
        <b/>
        <sz val="14"/>
        <rFont val="Times New Roman"/>
        <charset val="134"/>
      </rPr>
      <t>وجود سجل  لتسجيل الداخل و الخارج من المخزن يومياً.</t>
    </r>
  </si>
  <si>
    <r>
      <rPr>
        <b/>
        <sz val="14"/>
        <rFont val="Times New Roman"/>
        <charset val="134"/>
      </rPr>
      <t>وجود جدول لتوزيع الوجبات .</t>
    </r>
  </si>
  <si>
    <r>
      <rPr>
        <b/>
        <sz val="14"/>
        <rFont val="Times New Roman"/>
        <charset val="134"/>
      </rPr>
      <t>يتم توزيع الوجبات في الوقت المحدد طبقاً للجدول.</t>
    </r>
  </si>
  <si>
    <r>
      <rPr>
        <b/>
        <sz val="14"/>
        <rFont val="Times New Roman"/>
        <charset val="134"/>
      </rPr>
      <t>يتم توزيع الأطعمة في عربة نظيفة و مغلقة تحافظ على درجة حرارة الطعام .</t>
    </r>
  </si>
  <si>
    <r>
      <rPr>
        <b/>
        <sz val="14"/>
        <rFont val="Times New Roman"/>
        <charset val="134"/>
      </rPr>
      <t>وجود تهوية كافية والتأكد من سلامة ونظافة الشفاطات.</t>
    </r>
  </si>
  <si>
    <r>
      <rPr>
        <b/>
        <sz val="14"/>
        <rFont val="Times New Roman"/>
        <charset val="134"/>
      </rPr>
      <t>وجود ما يفيد بفحص البيطرى للدواجن و اللحوم.</t>
    </r>
  </si>
  <si>
    <t xml:space="preserve"> الإجمالى:           / 40</t>
  </si>
  <si>
    <t>4. غرفة حفظ الموتى :</t>
  </si>
  <si>
    <t>إشتراطات عامة:</t>
  </si>
  <si>
    <r>
      <rPr>
        <b/>
        <sz val="14"/>
        <rFont val="Times New Roman"/>
        <charset val="134"/>
      </rPr>
      <t>غرفة حفظ الموتى ذات مدخل مستقل بحيث لا يشاهد من باقي أقسام في المستشفى ( يفضل وجود بابين).</t>
    </r>
  </si>
  <si>
    <r>
      <rPr>
        <b/>
        <sz val="14"/>
        <rFont val="Times New Roman"/>
        <charset val="134"/>
      </rPr>
      <t>الغرفة سهلة التنظيف و التطهير حيث يجب أن تكون  الحوائط و الأرضيات من السيراميك.</t>
    </r>
  </si>
  <si>
    <r>
      <rPr>
        <b/>
        <sz val="14"/>
        <rFont val="Times New Roman"/>
        <charset val="134"/>
      </rPr>
      <t xml:space="preserve">يجب توفير العناصر التالية عند القيام بإجراءات حفظ الموتى فى المستشفى:
ثلاجات حفظ بعدد كافى
طاولة تغسيل
 حوض لغسيل الأيدى.
مصدر للصرف مغطى
مكان  مخصص لحفظ  المعدات
مصدر للماء البارد والماء الساخن (سخان كهربائى)
</t>
    </r>
  </si>
  <si>
    <r>
      <rPr>
        <b/>
        <sz val="14"/>
        <rFont val="Times New Roman"/>
        <charset val="134"/>
      </rPr>
      <t>يوجد حاويات نفايات خطرة وحاويات نفايات عادية</t>
    </r>
  </si>
  <si>
    <r>
      <rPr>
        <b/>
        <sz val="14"/>
        <rFont val="Times New Roman"/>
        <charset val="134"/>
      </rPr>
      <t xml:space="preserve">يوجد شبابيك وعليها سلك  معدنى ضيق الفتحات ,ويوجد شفاطات </t>
    </r>
  </si>
  <si>
    <r>
      <rPr>
        <b/>
        <sz val="14"/>
        <rFont val="Times New Roman"/>
        <charset val="134"/>
      </rPr>
      <t>ضرورة ربط ثلاجات الموتى على الشبكة الإحتياطية ( المولدات الكهربائية)</t>
    </r>
  </si>
  <si>
    <r>
      <rPr>
        <b/>
        <sz val="14"/>
        <rFont val="Times New Roman"/>
        <charset val="134"/>
      </rPr>
      <t>تسجيل درجة حرارة ثلاجة حفظ الموتى يومياً ( 2-4 ) درجة  مئوية.</t>
    </r>
  </si>
  <si>
    <r>
      <rPr>
        <b/>
        <sz val="14"/>
        <rFont val="Times New Roman"/>
        <charset val="134"/>
      </rPr>
      <t>يجب متابعة جميع الثلاجات/المجمدات وتزويدها بأجهزة إنذار تعمل على مدار 24 ساعة يوميًا.</t>
    </r>
  </si>
  <si>
    <r>
      <rPr>
        <b/>
        <sz val="14"/>
        <rFont val="Times New Roman"/>
        <charset val="134"/>
      </rPr>
      <t>الإلتزام بالواقيات الشخصية أثناء التعامل مع الجثث.</t>
    </r>
  </si>
  <si>
    <r>
      <rPr>
        <b/>
        <sz val="14"/>
        <rFont val="Times New Roman"/>
        <charset val="134"/>
      </rPr>
      <t>يوجد سجل لتسليم و تسلم الجثث من الأقسام للغرفة و يشمل على الأقل:
التاريخ – الساعة –  القسم - الإسم الرباعى للمريض – رقم الملف – إسم المسلم من القسم ثلاثيا – إسم المستلم بالغرفة ثلاثيا.</t>
    </r>
  </si>
  <si>
    <r>
      <rPr>
        <b/>
        <sz val="14"/>
        <rFont val="Times New Roman"/>
        <charset val="134"/>
      </rPr>
      <t>يوجد سجل لتسليم و تسلم الجثث من الغرفة لذوى الحالات و يشمل على الأقل:
التاريخ – الساعة –  القسم - الإسم الرباعى للمريض – رقم الملف – إسم المسلم من الغرفة  ثلاثيا – إسم المستلم  من ذوى الحالة ( الدرجة الأولى) ثلاثيا- الرقم القومى للمستلم.</t>
    </r>
  </si>
  <si>
    <r>
      <rPr>
        <b/>
        <sz val="14"/>
        <rFont val="Times New Roman"/>
        <charset val="134"/>
      </rPr>
      <t>يوجد جدول )التنظيف والتطهير) لجميع الأسطح بما فى ذلك الجزء الداخلى للثلاجة.</t>
    </r>
  </si>
  <si>
    <r>
      <rPr>
        <b/>
        <sz val="14"/>
        <rFont val="Times New Roman"/>
        <charset val="134"/>
      </rPr>
      <t>يتم الإلتزام بجدول )التنظيف والتطهير) مع التوثيق.</t>
    </r>
  </si>
  <si>
    <r>
      <rPr>
        <b/>
        <sz val="14"/>
        <rFont val="Times New Roman"/>
        <charset val="134"/>
      </rPr>
      <t>يتم إستلام أجزاء الجسم (الولادة الميتة، والأطراف المبتورة، وما إلى ذلك ( في كيس أحمر، و مميز بوضوح بوضع ملصق تعريفى على الكيس ( إسم المريض الرباعى و رقم الملف- القسم - إسم الجزء المستأصل) ، وتخزينها في الثلاجة حتى الدفن.</t>
    </r>
  </si>
  <si>
    <t xml:space="preserve"> الإجمالى:           / 28</t>
  </si>
  <si>
    <t>5. غرفة النفايات :</t>
  </si>
  <si>
    <r>
      <rPr>
        <b/>
        <sz val="14"/>
        <rFont val="Times New Roman"/>
        <charset val="134"/>
      </rPr>
      <t>وجود غرفة مخصصة للنفايات محكمة الغلق ( مؤمنة)  وعليها لافتة نفايات خطرة.</t>
    </r>
  </si>
  <si>
    <r>
      <rPr>
        <b/>
        <sz val="14"/>
        <rFont val="Times New Roman"/>
        <charset val="134"/>
      </rPr>
      <t>وضع علامات واضحة على الغرفة توضح ما يحتوي عليه الموقع.</t>
    </r>
  </si>
  <si>
    <r>
      <rPr>
        <b/>
        <sz val="14"/>
        <rFont val="Times New Roman"/>
        <charset val="134"/>
      </rPr>
      <t xml:space="preserve">وجود ترخيص تداول النفايات سارى. </t>
    </r>
  </si>
  <si>
    <r>
      <rPr>
        <b/>
        <sz val="14"/>
        <rFont val="Times New Roman"/>
        <charset val="134"/>
      </rPr>
      <t xml:space="preserve">وجود عقد ساري للنفايات. </t>
    </r>
  </si>
  <si>
    <r>
      <rPr>
        <b/>
        <sz val="14"/>
        <rFont val="Times New Roman"/>
        <charset val="134"/>
      </rPr>
      <t>وجود مسئول عن غرفة النفايات على دراية بسياسات العمل.</t>
    </r>
  </si>
  <si>
    <r>
      <rPr>
        <b/>
        <sz val="14"/>
        <rFont val="Times New Roman"/>
        <charset val="134"/>
      </rPr>
      <t xml:space="preserve">مواصفات الغرفة:
 الحوائط و الأرضيات من السيراميك لسهولة التنظيف والتطهير.
 مصدر للتهوية.
 يوجد سلك معدنى ضيق على النوافذ لمنع دخــول القوارض والحشرات والطيور والحيوانات الضالة.
 يوجد مصدر للمياه الجارية .
 مصدر للصرف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حوض لغسيل الأيدي 
 ميزان لوزن النفايات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أدوات  النظافة الملائمة ومواد التطهير لإستعمالها في نظافة الغرفة بصفة مستمرة وعند إنسكاب النفايات.
 ديب فريزر فى حالة حفظ المشيمة.</t>
    </r>
  </si>
  <si>
    <r>
      <rPr>
        <b/>
        <sz val="14"/>
        <rFont val="Times New Roman"/>
        <charset val="134"/>
      </rPr>
      <t xml:space="preserve">أكياس النفايات الطبية الخطرة مغلقة جيدا ومعنونة بإسم القسم والوزن والتاريخ </t>
    </r>
  </si>
  <si>
    <r>
      <rPr>
        <b/>
        <sz val="14"/>
        <rFont val="Times New Roman"/>
        <charset val="134"/>
      </rPr>
      <t>وجود حاويات لوضع أكياس النفايات.</t>
    </r>
  </si>
  <si>
    <r>
      <rPr>
        <b/>
        <sz val="14"/>
        <rFont val="Times New Roman"/>
        <charset val="134"/>
      </rPr>
      <t>يوجد سجل تسليم النفايات من القسم لغرفة النفايات و يشمل على الأقل:
التاريخ – الساعة – القسم – عدد الأكياس – وزنها – عدد صناديق النفايات الخطرة الحادة – وزنها – إسم المستلم و المسلم ثلاثياً.</t>
    </r>
  </si>
  <si>
    <r>
      <rPr>
        <b/>
        <sz val="14"/>
        <rFont val="Times New Roman"/>
        <charset val="134"/>
      </rPr>
      <t>يوجد سجل تسليم النفايات من غرفة النفايات لمسئول التخلص النهائى و يشمل على الأقل:
التاريخ – الساعة – عدد الأكياس – وزنها – عدد صناديق النفايات الخطرة الحادة – وزنها – إسم المستلم و المسلم ثلاثياً.</t>
    </r>
  </si>
  <si>
    <r>
      <rPr>
        <b/>
        <sz val="14"/>
        <rFont val="Times New Roman"/>
        <charset val="134"/>
      </rPr>
      <t>توافر الواقيات الشخصية و الإلتزام بها عند تداول النفايات: 
قفازات شديدة التحمل – مريلة بلاستيكة ذات الإستخدام الواحد –  واقى القدم (أحذية برقبة ذات طول مناسب) لحماية الأقدام من التعرض  للسوائل و الأدوات الحادة) – ماسك – غطاء للرأس – نظارة واقية إن أمكن.</t>
    </r>
  </si>
  <si>
    <t xml:space="preserve"> الإنضباط و الإلتزام الإدارى:</t>
  </si>
  <si>
    <t>a. الموارد البشرية :</t>
  </si>
  <si>
    <r>
      <rPr>
        <b/>
        <sz val="14"/>
        <rFont val="Times New Roman"/>
        <charset val="134"/>
      </rPr>
      <t xml:space="preserve"> يوجد مسئول عن قسم  الموارد البشرية</t>
    </r>
  </si>
  <si>
    <r>
      <rPr>
        <b/>
        <sz val="14"/>
        <rFont val="Times New Roman"/>
        <charset val="134"/>
      </rPr>
      <t>يوجد ملف خاص لكل موظف موضح به جميع البيانات الخاصة به وبيانات
عن الأداء, يحتوي كل ملف على المستندات التالية :
 نسخة من الشهادات العلمية وترخيص مزاولة المهنة اللازم.
 التعليم والتدريب والسيرة الذاتية.
 التوصيف الوظيفي الحالي.
 ما يثبت حضور برنامج تهيئة الموظف الجديد.
 تقارير التقييم السنوية.
 وثائق أخرى حسب اللوائح والقوانين.</t>
    </r>
  </si>
  <si>
    <r>
      <rPr>
        <b/>
        <sz val="14"/>
        <rFont val="Times New Roman"/>
        <charset val="134"/>
      </rPr>
      <t xml:space="preserve"> يوجد خطة توظيف تحدث سنويا</t>
    </r>
  </si>
  <si>
    <r>
      <rPr>
        <b/>
        <sz val="14"/>
        <rFont val="Times New Roman"/>
        <charset val="134"/>
      </rPr>
      <t xml:space="preserve">تعمل  المستشفى ( قسم الموارد البشرية) على توفير إحتياجاتها من كفاءات العنصر البشرى و من خلال خطة التوظيف. </t>
    </r>
  </si>
  <si>
    <r>
      <rPr>
        <b/>
        <sz val="14"/>
        <rFont val="Arial"/>
        <charset val="134"/>
      </rPr>
      <t>ضرورة إخطار وتوقيع العاملين بنتائج التقييم</t>
    </r>
  </si>
  <si>
    <r>
      <rPr>
        <b/>
        <sz val="14"/>
        <rFont val="Arial"/>
        <charset val="134"/>
      </rPr>
      <t>نظم لقياس مدى رضا العاملين يتم تنفيذه بصفة دورية مرة كل (6) أشهر.</t>
    </r>
  </si>
  <si>
    <t>التعليم و التدريب المستمر :</t>
  </si>
  <si>
    <r>
      <rPr>
        <b/>
        <sz val="14"/>
        <rFont val="Times New Roman"/>
        <charset val="134"/>
      </rPr>
      <t>يتوفر نظام تدريبي واضح ومطبق يشمل التدريب الأساسي والتنظيمي والمستمر (برنامج تهيئة العاملين الجدد – التعليم المستمر) يشمل البنود التالية:
 	تحديد الإحتياجات التدريبية للعاملين
 	تحديد الفئات المستهدفة
 	تحديد طرق التدريب
 	تحديد المدربين
 	تحديد الموارد المالية الالزمة
    خطة/جداول زمنية</t>
    </r>
  </si>
  <si>
    <r>
      <rPr>
        <b/>
        <sz val="14"/>
        <rFont val="Times New Roman"/>
        <charset val="134"/>
      </rPr>
      <t>توجد لجنة / فريق متخصصة في التدريب وتطوير كفاءة ومهارة العاملين لديها برنامج للتعليم والتدريب المستمر لجميع العاملين.
 تتوفر وثيقة توضح مهام اللجنة / الفريق.
 تتوفر محاضر لإجتماعات اللجنة  أو تقارير نشاط الفريق.</t>
    </r>
  </si>
  <si>
    <r>
      <rPr>
        <b/>
        <sz val="14"/>
        <rFont val="Times New Roman"/>
        <charset val="134"/>
      </rPr>
      <t xml:space="preserve">توافر السجلات الآتية على الأقل: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الأجازات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الترقيات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الجزاءات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الإنتدابات والتنقلات
 سجل الوارد والصادر</t>
    </r>
  </si>
  <si>
    <r>
      <rPr>
        <b/>
        <sz val="14"/>
        <rFont val="Times New Roman"/>
        <charset val="134"/>
      </rPr>
      <t xml:space="preserve"> </t>
    </r>
    <r>
      <rPr>
        <b/>
        <sz val="14"/>
        <rFont val="Arial"/>
        <charset val="134"/>
      </rPr>
      <t xml:space="preserve">يوجد نظام لحفظ المستندات والسجلات والمكاتبات </t>
    </r>
  </si>
  <si>
    <r>
      <rPr>
        <b/>
        <sz val="14"/>
        <rFont val="Arial"/>
        <charset val="134"/>
      </rPr>
      <t>العاملون على دراية بالمدة المسموحة لحفظ السجلات والمستندات والمكاتبات.</t>
    </r>
  </si>
  <si>
    <r>
      <rPr>
        <b/>
        <sz val="14"/>
        <rFont val="Times New Roman"/>
        <charset val="134"/>
      </rPr>
      <t xml:space="preserve">يتم الإلتزام </t>
    </r>
    <r>
      <rPr>
        <b/>
        <sz val="14"/>
        <rFont val="Arial"/>
        <charset val="134"/>
      </rPr>
      <t>بالمدة المسموحة لحفظ السجلات والمستندات والمكاتبات</t>
    </r>
    <r>
      <rPr>
        <b/>
        <sz val="14"/>
        <rFont val="Times New Roman"/>
        <charset val="134"/>
      </rPr>
      <t xml:space="preserve"> مع التوثيق</t>
    </r>
  </si>
  <si>
    <t>B. الشئون المالية :</t>
  </si>
  <si>
    <r>
      <rPr>
        <b/>
        <sz val="14"/>
        <rFont val="Times New Roman"/>
        <charset val="134"/>
      </rPr>
      <t>توجد وحدة تنظيمية مختصة في الشئون المالية:
 يتضمن الهيكل التنظيمي وجود وحدة تنظيمية مالية.
 يتوفر هيكل تنظيمي فرعي للوحدة.
 إختصاصات الوحدة محددة</t>
    </r>
  </si>
  <si>
    <r>
      <rPr>
        <b/>
        <sz val="14"/>
        <rFont val="Times New Roman"/>
        <charset val="134"/>
      </rPr>
      <t>الموظف القائم بالمهام/المسئول عن هذه الوحدة الإدارية:
  مؤهل في مجال تخصصه 
 له خبرة مناسبة في مجال عمله.</t>
    </r>
  </si>
  <si>
    <r>
      <rPr>
        <b/>
        <sz val="14"/>
        <rFont val="Times New Roman"/>
        <charset val="134"/>
      </rPr>
      <t xml:space="preserve">لدى الإدارة المالية القوانين و اللوائح التالية: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وجود اللائحة المالية للموازنة و الحسابات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وجود لائحة المناقصات و المزايدات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وجود لائحة المخازن
 وجود اللائحة المالية الخاصة بالمستشفى</t>
    </r>
  </si>
  <si>
    <r>
      <rPr>
        <b/>
        <sz val="14"/>
        <rFont val="Times New Roman"/>
        <charset val="134"/>
      </rPr>
      <t xml:space="preserve">يجب أن تتوافر السجلات التالية 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حسابات المرضى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دخول و خروج المرضى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فواتير المرضى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التعاقدات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نفقة الدولة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إيرادات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مصروفات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إرتباطات
 سجل لقيد ممتلكات المستشفى المتمثلة فى الأرض و المباني و السيارات.</t>
    </r>
  </si>
  <si>
    <r>
      <rPr>
        <b/>
        <sz val="14"/>
        <rFont val="Times New Roman"/>
        <charset val="134"/>
      </rPr>
      <t>تحفظ المستندات والسجلات المالية بطريقة آمنة ومتواصلة ومنظمة:
 يتوفر مكان حفظ المستندات والسجلات بشكل آمن.
 يتم حفظ المستندات والسجلات الخاصة وفق تسلسل منطقي.</t>
    </r>
  </si>
  <si>
    <r>
      <rPr>
        <b/>
        <sz val="14"/>
        <rFont val="Times New Roman"/>
        <charset val="134"/>
      </rPr>
      <t xml:space="preserve">يوجد بالمؤسسة موازنة سنوية توضح الآتى :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وجود خطة تقديرية قبل بداية كل سنة مالية
 تشارك جميع الأقسام فى إعداد الموازنة السنوية</t>
    </r>
  </si>
  <si>
    <r>
      <rPr>
        <b/>
        <sz val="14"/>
        <rFont val="Arial"/>
        <charset val="134"/>
      </rPr>
      <t xml:space="preserve">توجد خطة لإحلال أو تجديد مختلف أصول المنشأة </t>
    </r>
  </si>
  <si>
    <r>
      <rPr>
        <b/>
        <sz val="14"/>
        <rFont val="Arial"/>
        <charset val="134"/>
      </rPr>
      <t>يوجد بالمستشفى إدارة أو قسم أو لجنة مشتريات</t>
    </r>
  </si>
  <si>
    <t>C . المخازن :</t>
  </si>
  <si>
    <r>
      <rPr>
        <b/>
        <sz val="14"/>
        <rFont val="Times New Roman"/>
        <charset val="134"/>
      </rPr>
      <t>يوجد مسئول يقوم بالإشراف لديه مؤهل مناسب طبقا للتوصيف الوظيفي.</t>
    </r>
  </si>
  <si>
    <r>
      <rPr>
        <b/>
        <sz val="14"/>
        <rFont val="Times New Roman"/>
        <charset val="134"/>
      </rPr>
      <t>تتبع المستشفى اللوائح و القوانين المنظمة لأعمال المخازن و تشمل :
 توافر لائحة المخازن
 توافر لائحة المناقصات والمزايدات</t>
    </r>
  </si>
  <si>
    <r>
      <rPr>
        <b/>
        <sz val="14"/>
        <rFont val="Times New Roman"/>
        <charset val="134"/>
      </rPr>
      <t>تتوفر الإشتراطات اللازمة للمخازن و تشمل على الأقل حيث:
 كافة منشآت المخازن من مواد غير قابلة للإشتعال، ويفضل أن يكون للمخزن أكثر من مخرج واحد .
 توفير فتحات الإضاءة والتهوية الطبيعية المناسبة مـع تزويـدها بسلك صلب مزدوج ضيق .
 جميع التوصيلات والتجهيزات الكهربائية داخل المخازن طبقاً للمواصفات الفنية التي تضمن سلامة المخازن من خطـر الحريق.
 كل مخزن مزود بسكينة خارجية لفصل التيار الكهربائي عند إنتهاء العمل أو في حالات الطوارئ .
 توفير أجهزة ومعـدات الإطفاء التي تتناسب مع المساحات المخصصة لها ونوعية المواد التي سيتم تخزينها بالمخازن ، و توفير نظام الإطفاء التلقائي و وسيلة لإنذار الحريق .
 الأبواب من الأنواع المقاومة للنيران ويجب أن تظل مغلقة بصفة دائمة.
 تقسيم المخازن ذات المساحات الكبيرة إلى وحدات صغيرة وذلك بإقامة فواصل من مواد مقاومة للنيران بحيث يصعب نفاذ الحريق منها .
 تصنيف المواد حسب طبيعتها وخصائصها و وضع ملصق تعريفى لها.
 يحفظ المخزون على قوائم وأرفف معدنية ولا يتم وضعها على الأرض مباشرة لحمايتها من التلف  .
 يمنع التدخين نهائياً داخل المخازن مع وضع ملصقات منع التدخين بمكان ظاهر.
 الصيانة الدورية لأجهزة ومعدات الإطفاء الموجودة بالمخازن.</t>
    </r>
  </si>
  <si>
    <t>السجلات / النماذج:</t>
  </si>
  <si>
    <r>
      <rPr>
        <b/>
        <sz val="14"/>
        <rFont val="Times New Roman"/>
        <charset val="134"/>
      </rPr>
      <t xml:space="preserve"> سجل عهدة المخزن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الشطب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دفتر يومية المخزن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إجمالي موجودات المخزن والعهد الشخصية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قيد الأشياء الثمينة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قيد الفواتير الواردة للمخزن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سجل قيد الخامات المصروفة
</t>
    </r>
    <r>
      <rPr>
        <b/>
        <sz val="14"/>
        <rFont val="Wingdings"/>
        <charset val="2"/>
      </rPr>
      <t></t>
    </r>
    <r>
      <rPr>
        <b/>
        <sz val="14"/>
        <rFont val="Arial"/>
        <charset val="134"/>
      </rPr>
      <t xml:space="preserve"> سجل عهدة المخزن</t>
    </r>
    <r>
      <rPr>
        <b/>
        <sz val="14"/>
        <rFont val="Times New Roman"/>
        <charset val="134"/>
      </rPr>
      <t xml:space="preserve">
</t>
    </r>
    <r>
      <rPr>
        <b/>
        <sz val="14"/>
        <rFont val="Wingdings"/>
        <charset val="2"/>
      </rPr>
      <t></t>
    </r>
    <r>
      <rPr>
        <b/>
        <sz val="14"/>
        <rFont val="Arial"/>
        <charset val="134"/>
      </rPr>
      <t xml:space="preserve"> نموذج إضافة</t>
    </r>
    <r>
      <rPr>
        <b/>
        <sz val="14"/>
        <rFont val="Times New Roman"/>
        <charset val="134"/>
      </rPr>
      <t xml:space="preserve">
</t>
    </r>
    <r>
      <rPr>
        <b/>
        <sz val="14"/>
        <rFont val="Wingdings"/>
        <charset val="2"/>
      </rPr>
      <t></t>
    </r>
    <r>
      <rPr>
        <b/>
        <sz val="14"/>
        <rFont val="Arial"/>
        <charset val="134"/>
      </rPr>
      <t xml:space="preserve"> نموذج صرف</t>
    </r>
    <r>
      <rPr>
        <b/>
        <sz val="14"/>
        <rFont val="Times New Roman"/>
        <charset val="134"/>
      </rPr>
      <t xml:space="preserve">
</t>
    </r>
    <r>
      <rPr>
        <b/>
        <sz val="14"/>
        <rFont val="Wingdings"/>
        <charset val="2"/>
      </rPr>
      <t></t>
    </r>
    <r>
      <rPr>
        <b/>
        <sz val="14"/>
        <rFont val="Arial"/>
        <charset val="134"/>
      </rPr>
      <t xml:space="preserve"> طلب خصم أصناف</t>
    </r>
    <r>
      <rPr>
        <b/>
        <sz val="14"/>
        <rFont val="Times New Roman"/>
        <charset val="134"/>
      </rPr>
      <t xml:space="preserve">
</t>
    </r>
    <r>
      <rPr>
        <b/>
        <sz val="14"/>
        <rFont val="Wingdings"/>
        <charset val="2"/>
      </rPr>
      <t></t>
    </r>
    <r>
      <rPr>
        <b/>
        <sz val="14"/>
        <rFont val="Arial"/>
        <charset val="134"/>
      </rPr>
      <t xml:space="preserve"> كشف الزيادة والعجز</t>
    </r>
    <r>
      <rPr>
        <b/>
        <sz val="14"/>
        <rFont val="Times New Roman"/>
        <charset val="134"/>
      </rPr>
      <t xml:space="preserve">
</t>
    </r>
    <r>
      <rPr>
        <b/>
        <sz val="14"/>
        <rFont val="Wingdings"/>
        <charset val="2"/>
      </rPr>
      <t></t>
    </r>
    <r>
      <rPr>
        <b/>
        <sz val="14"/>
        <rFont val="Arial"/>
        <charset val="134"/>
      </rPr>
      <t xml:space="preserve"> طلب إرتجاع الأصناف</t>
    </r>
    <r>
      <rPr>
        <b/>
        <sz val="14"/>
        <rFont val="Times New Roman"/>
        <charset val="134"/>
      </rPr>
      <t xml:space="preserve">
</t>
    </r>
    <r>
      <rPr>
        <b/>
        <sz val="14"/>
        <rFont val="Wingdings"/>
        <charset val="2"/>
      </rPr>
      <t></t>
    </r>
    <r>
      <rPr>
        <b/>
        <sz val="14"/>
        <rFont val="Arial"/>
        <charset val="134"/>
      </rPr>
      <t xml:space="preserve"> كشف عهدة شخصية</t>
    </r>
    <r>
      <rPr>
        <b/>
        <sz val="14"/>
        <rFont val="Times New Roman"/>
        <charset val="134"/>
      </rPr>
      <t xml:space="preserve">
</t>
    </r>
    <r>
      <rPr>
        <b/>
        <sz val="14"/>
        <rFont val="Wingdings"/>
        <charset val="2"/>
      </rPr>
      <t></t>
    </r>
    <r>
      <rPr>
        <b/>
        <sz val="14"/>
        <rFont val="Arial"/>
        <charset val="134"/>
      </rPr>
      <t xml:space="preserve"> كشف الإحتياجات السنوية للمستلزمات السلعية</t>
    </r>
    <r>
      <rPr>
        <b/>
        <sz val="14"/>
        <rFont val="Times New Roman"/>
        <charset val="134"/>
      </rPr>
      <t xml:space="preserve">
</t>
    </r>
    <r>
      <rPr>
        <b/>
        <sz val="14"/>
        <rFont val="Wingdings"/>
        <charset val="2"/>
      </rPr>
      <t></t>
    </r>
    <r>
      <rPr>
        <b/>
        <sz val="14"/>
        <rFont val="Arial"/>
        <charset val="134"/>
      </rPr>
      <t xml:space="preserve"> محضر لجنة الجرد</t>
    </r>
    <r>
      <rPr>
        <b/>
        <sz val="14"/>
        <rFont val="Times New Roman"/>
        <charset val="134"/>
      </rPr>
      <t xml:space="preserve">
</t>
    </r>
    <r>
      <rPr>
        <b/>
        <sz val="14"/>
        <rFont val="Arial"/>
        <charset val="134"/>
      </rPr>
      <t> كشف إجراءات تتبع الصنف</t>
    </r>
  </si>
  <si>
    <r>
      <rPr>
        <b/>
        <sz val="14"/>
        <rFont val="Arial"/>
        <charset val="134"/>
      </rPr>
      <t>يتم حفظ المستندات والسجلات المخزنية بطريقة آمنة ومنظمة</t>
    </r>
  </si>
  <si>
    <r>
      <rPr>
        <b/>
        <sz val="14"/>
        <rFont val="Arial"/>
        <charset val="134"/>
      </rPr>
      <t>حفظ الأصناف الكهنة بمخزن مستقل</t>
    </r>
  </si>
  <si>
    <r>
      <rPr>
        <b/>
        <sz val="14"/>
        <rFont val="Arial"/>
        <charset val="134"/>
      </rPr>
      <t>ضرورة عمل جرد جزئى وتوثيقه شهرياً,  وكذلك الجرد السنوي.</t>
    </r>
  </si>
  <si>
    <r>
      <rPr>
        <b/>
        <sz val="14"/>
        <rFont val="Arial"/>
        <charset val="134"/>
      </rPr>
      <t>ضرورة عمل الجرد السنوي وتوثيقه</t>
    </r>
  </si>
  <si>
    <r>
      <rPr>
        <b/>
        <sz val="14"/>
        <rFont val="Arial"/>
        <charset val="134"/>
      </rPr>
      <t>يتم إتخاذ اللازم نحو حوادث الفقد والتلف والسرقة وفقا للائحة المخازن واللائحة المالية</t>
    </r>
  </si>
  <si>
    <t xml:space="preserve"> سكن الأطباء و التمريض:</t>
  </si>
  <si>
    <r>
      <rPr>
        <b/>
        <sz val="14"/>
        <rFont val="Times New Roman"/>
        <charset val="134"/>
      </rPr>
      <t xml:space="preserve"> توجد لافتة توضح مكان سكن الأطباء والتمريض </t>
    </r>
  </si>
  <si>
    <r>
      <rPr>
        <b/>
        <sz val="14"/>
        <rFont val="Times New Roman"/>
        <charset val="134"/>
      </rPr>
      <t>وجود التجهيزات والأثاث  اللازم.</t>
    </r>
  </si>
  <si>
    <r>
      <rPr>
        <b/>
        <sz val="14"/>
        <rFont val="Times New Roman"/>
        <charset val="134"/>
      </rPr>
      <t>الإلتزام  بنظافة المكان والسباكة سليمة .</t>
    </r>
  </si>
  <si>
    <r>
      <rPr>
        <b/>
        <sz val="14"/>
        <rFont val="Times New Roman"/>
        <charset val="134"/>
      </rPr>
      <t>لا يستخدم السكن فى أغراض أخرى مثل الإحتفاظ برواكد – ادوية – أجهزة طبية – مستلزمات ).</t>
    </r>
  </si>
  <si>
    <r>
      <rPr>
        <b/>
        <sz val="14"/>
        <rFont val="Times New Roman"/>
        <charset val="134"/>
      </rPr>
      <t>الإضاءة جيدة و سليمة.</t>
    </r>
  </si>
  <si>
    <t>تقييم و مراقبة أداء الخدمات الصحية المقدمة بالمنشأة Customer Voice :</t>
  </si>
  <si>
    <r>
      <rPr>
        <b/>
        <sz val="14"/>
        <rFont val="Times New Roman"/>
        <charset val="134"/>
      </rPr>
      <t>يوجد صندوق  / صناديق شكاوى للمنشأة: 
 العدد
 أماكن توزيع صندوق / صناديق الشكاوى</t>
    </r>
  </si>
  <si>
    <r>
      <rPr>
        <b/>
        <sz val="14"/>
        <rFont val="Times New Roman"/>
        <charset val="134"/>
      </rPr>
      <t xml:space="preserve">يوجد مصادر أخرى للشكاوى غير الصندوق:
 خط ساخن        
 منظومة الشكاوى مجلس الوزراء            
 شكاوى شفويا        </t>
    </r>
  </si>
  <si>
    <r>
      <rPr>
        <b/>
        <sz val="14"/>
        <rFont val="Times New Roman"/>
        <charset val="134"/>
      </rPr>
      <t xml:space="preserve">وجود آلية / نظام  لبحث الشكاوى </t>
    </r>
  </si>
  <si>
    <r>
      <rPr>
        <b/>
        <sz val="14"/>
        <rFont val="Times New Roman"/>
        <charset val="134"/>
      </rPr>
      <t>توجد لافتات / أسهم  واضحة تشير إلى مكان توافر صندوق / صناديق الشكاوى</t>
    </r>
  </si>
  <si>
    <r>
      <rPr>
        <b/>
        <sz val="14"/>
        <rFont val="Times New Roman"/>
        <charset val="134"/>
      </rPr>
      <t>توافر بوسترإعلان يوضح  أرقام و أماكن تلقى الشكاوى المتعلقة بالخدمات المقدمة.</t>
    </r>
  </si>
  <si>
    <r>
      <rPr>
        <b/>
        <sz val="14"/>
        <rFont val="Times New Roman"/>
        <charset val="134"/>
      </rPr>
      <t xml:space="preserve">يتم فتح  صندوق الشكاوى  بشكل دورى : 
 أسبوعى 
 شهرى </t>
    </r>
  </si>
  <si>
    <r>
      <rPr>
        <b/>
        <sz val="14"/>
        <rFont val="Times New Roman"/>
        <charset val="134"/>
      </rPr>
      <t>وجود محاضر فتح صندوق الشكاوى وحصر الشكاوى التى بداخله .</t>
    </r>
  </si>
  <si>
    <r>
      <rPr>
        <b/>
        <sz val="14"/>
        <rFont val="Times New Roman"/>
        <charset val="134"/>
      </rPr>
      <t>يوجد  تشكيل للجنة الشكاوى معتمد.</t>
    </r>
  </si>
  <si>
    <r>
      <rPr>
        <b/>
        <sz val="14"/>
        <rFont val="Times New Roman"/>
        <charset val="134"/>
      </rPr>
      <t>يتم إنعقاد اللجنة بشكل دورى .</t>
    </r>
  </si>
  <si>
    <r>
      <rPr>
        <b/>
        <sz val="14"/>
        <rFont val="Times New Roman"/>
        <charset val="134"/>
      </rPr>
      <t>يوجد محاضر لتوثيق إنعقاد اللجنة.</t>
    </r>
  </si>
  <si>
    <r>
      <rPr>
        <b/>
        <sz val="14"/>
        <rFont val="Times New Roman"/>
        <charset val="134"/>
      </rPr>
      <t>توافر نموذج إبلاغ عن شكوى .</t>
    </r>
  </si>
  <si>
    <r>
      <rPr>
        <b/>
        <sz val="14"/>
        <rFont val="Times New Roman"/>
        <charset val="134"/>
      </rPr>
      <t xml:space="preserve">توافر سجل عن  الشكاوى يشمل العناصر التالية على الأقل: 
 إسم الشاكى 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رقم التواصل 
 الرقم القومى
 مصدر الشكوى
 محتوى الشكوى
</t>
    </r>
    <r>
      <rPr>
        <b/>
        <sz val="14"/>
        <rFont val="Wingdings"/>
        <charset val="2"/>
      </rPr>
      <t></t>
    </r>
    <r>
      <rPr>
        <b/>
        <sz val="14"/>
        <rFont val="Times New Roman"/>
        <charset val="134"/>
      </rPr>
      <t xml:space="preserve"> طرق حل الشكوى
 إبلاغ الشاكى بحل الشكوى.</t>
    </r>
  </si>
  <si>
    <r>
      <rPr>
        <b/>
        <sz val="14"/>
        <rFont val="Times New Roman"/>
        <charset val="134"/>
      </rPr>
      <t>توافر نماذج إستبيان رضاء المرضى عن أداء الخدمات المقدمة / 3 أشهر.</t>
    </r>
  </si>
  <si>
    <r>
      <rPr>
        <b/>
        <sz val="14"/>
        <rFont val="Times New Roman"/>
        <charset val="134"/>
      </rPr>
      <t xml:space="preserve">يتم تحليل نتائج إستبيان رضاء المرضى. </t>
    </r>
  </si>
  <si>
    <r>
      <rPr>
        <b/>
        <sz val="14"/>
        <rFont val="Times New Roman"/>
        <charset val="134"/>
      </rPr>
      <t xml:space="preserve">وجود  إجراءات متخذة  وموثقة لتحسين نتائج الإستبيان. </t>
    </r>
  </si>
  <si>
    <t>العلاج الطبيعى:</t>
  </si>
  <si>
    <t>الإشتراطات العامة:</t>
  </si>
  <si>
    <r>
      <rPr>
        <b/>
        <sz val="14"/>
        <rFont val="Times New Roman"/>
        <charset val="134"/>
      </rPr>
      <t>يفضل أن يكون المركز في الدور الأرضي ( و إذا تواجد فى طابق علوى لابد من توفير مصعد مناسب لإستخدام ذوي الإحتياجات الخاصة).</t>
    </r>
  </si>
  <si>
    <r>
      <rPr>
        <b/>
        <sz val="14"/>
        <rFont val="Times New Roman"/>
        <charset val="134"/>
      </rPr>
      <t xml:space="preserve">غرفة  كشف وتقييم و فحص العلامات الحيوية. </t>
    </r>
  </si>
  <si>
    <r>
      <rPr>
        <b/>
        <sz val="14"/>
        <rFont val="Times New Roman"/>
        <charset val="134"/>
      </rPr>
      <t>غرفة إنتظار للمرضى.</t>
    </r>
  </si>
  <si>
    <r>
      <rPr>
        <b/>
        <sz val="14"/>
        <rFont val="Times New Roman"/>
        <charset val="134"/>
      </rPr>
      <t>دورة  مياه للمرضى , و دورة مياه مجهزة لإستخدام ذوي الإحتياجات الخاصة.</t>
    </r>
  </si>
  <si>
    <r>
      <rPr>
        <b/>
        <sz val="14"/>
        <rFont val="Times New Roman"/>
        <charset val="134"/>
      </rPr>
      <t>تكون الممرات  واسعة والأرضية  غير قابلة للإنزلاق مناسبة لإستخدام ذوي الإحتياجات الخاصة.</t>
    </r>
  </si>
  <si>
    <r>
      <rPr>
        <b/>
        <sz val="14"/>
        <rFont val="Times New Roman"/>
        <charset val="134"/>
      </rPr>
      <t xml:space="preserve">صالة تمارين علاجية </t>
    </r>
  </si>
  <si>
    <r>
      <rPr>
        <b/>
        <sz val="14"/>
        <rFont val="Times New Roman"/>
        <charset val="134"/>
      </rPr>
      <t>مراعاة الخصوصية  في أماكن العلاج  بوضع فواصل أو ستائر.</t>
    </r>
  </si>
  <si>
    <r>
      <rPr>
        <b/>
        <sz val="14"/>
        <rFont val="Times New Roman"/>
        <charset val="134"/>
      </rPr>
      <t>لا يجوز القيام بالعلاج الطبيعي لمن لا تسمح حالتهم الصحية بذلك إلا بأمر مكتوب من الطبيب المعالج , و إقرار موافقة مستنيرة من المريض أو ذويه.</t>
    </r>
  </si>
  <si>
    <r>
      <rPr>
        <b/>
        <sz val="14"/>
        <rFont val="Times New Roman"/>
        <charset val="134"/>
      </rPr>
      <t>مساحة العيادة مناسبة والتجهيزات متوفرة وأن تكون ممراته ومداخله واسعة.</t>
    </r>
  </si>
  <si>
    <r>
      <rPr>
        <b/>
        <sz val="14"/>
        <rFont val="Times New Roman"/>
        <charset val="134"/>
      </rPr>
      <t>أن تخصص أماكن منفصلة لكل نوع من أنواع العلاج.</t>
    </r>
  </si>
  <si>
    <t>التجهيزات اللازمة  طبقاً لنوع الخدمة المقدمة:</t>
  </si>
  <si>
    <r>
      <rPr>
        <b/>
        <sz val="14"/>
        <rFont val="Times New Roman"/>
        <charset val="134"/>
      </rPr>
      <t>أسرة علاجية/ للتدريب و التمارين العلاجية.</t>
    </r>
  </si>
  <si>
    <r>
      <rPr>
        <b/>
        <sz val="14"/>
        <rFont val="Times New Roman"/>
        <charset val="134"/>
      </rPr>
      <t>جهاز قياس حركة المفاصل (جينيومتر(.</t>
    </r>
  </si>
  <si>
    <r>
      <rPr>
        <b/>
        <sz val="14"/>
        <rFont val="Times New Roman"/>
        <charset val="134"/>
      </rPr>
      <t>وحدة المعالجة الكهربائية.</t>
    </r>
  </si>
  <si>
    <r>
      <rPr>
        <b/>
        <sz val="14"/>
        <rFont val="Times New Roman"/>
        <charset val="134"/>
      </rPr>
      <t>مشاية.</t>
    </r>
  </si>
  <si>
    <r>
      <rPr>
        <b/>
        <sz val="14"/>
        <rFont val="Times New Roman"/>
        <charset val="134"/>
      </rPr>
      <t>جهاز مشاية كهربائي .</t>
    </r>
  </si>
  <si>
    <r>
      <rPr>
        <b/>
        <sz val="14"/>
        <rFont val="Times New Roman"/>
        <charset val="134"/>
      </rPr>
      <t>أطقم أحزمة علاجية ( تحريك – مشى).</t>
    </r>
  </si>
  <si>
    <r>
      <rPr>
        <b/>
        <sz val="14"/>
        <rFont val="Times New Roman"/>
        <charset val="134"/>
      </rPr>
      <t>المرآة الحائطية و المرآة المتحركة.</t>
    </r>
  </si>
  <si>
    <r>
      <rPr>
        <b/>
        <sz val="14"/>
        <rFont val="Times New Roman"/>
        <charset val="134"/>
      </rPr>
      <t>المعالجة  بشمع البارافين.</t>
    </r>
  </si>
  <si>
    <r>
      <rPr>
        <b/>
        <sz val="14"/>
        <rFont val="Times New Roman"/>
        <charset val="134"/>
      </rPr>
      <t>ممارسة الدراجة.</t>
    </r>
  </si>
  <si>
    <r>
      <rPr>
        <b/>
        <sz val="14"/>
        <rFont val="Times New Roman"/>
        <charset val="134"/>
      </rPr>
      <t>عجلات كتف مثبتة على الحائط.</t>
    </r>
  </si>
  <si>
    <r>
      <rPr>
        <b/>
        <sz val="14"/>
        <rFont val="Times New Roman"/>
        <charset val="134"/>
      </rPr>
      <t>آلة تقريب / تبعيد الساق.</t>
    </r>
  </si>
  <si>
    <r>
      <rPr>
        <b/>
        <sz val="14"/>
        <rFont val="Times New Roman"/>
        <charset val="134"/>
      </rPr>
      <t>أوزان الرمال.</t>
    </r>
  </si>
  <si>
    <r>
      <rPr>
        <b/>
        <sz val="14"/>
        <rFont val="Times New Roman"/>
        <charset val="134"/>
      </rPr>
      <t>الأشعة تحت الحمراء.</t>
    </r>
  </si>
  <si>
    <r>
      <rPr>
        <b/>
        <sz val="14"/>
        <rFont val="Times New Roman"/>
        <charset val="134"/>
      </rPr>
      <t>الأشعة الفوق بنفسجية.</t>
    </r>
  </si>
  <si>
    <r>
      <rPr>
        <b/>
        <sz val="14"/>
        <rFont val="Times New Roman"/>
        <charset val="134"/>
      </rPr>
      <t>جهاز تحريك المفصل .</t>
    </r>
  </si>
  <si>
    <r>
      <rPr>
        <b/>
        <sz val="14"/>
        <rFont val="Times New Roman"/>
        <charset val="134"/>
      </rPr>
      <t>وجود سجل لتسجيل المرضى يشمل على الأقل  البيانات التالية:
إسم المريض الرباعى -  رقم الملف / الإيصال - السن - عنوانه - تاريخ الزيارة الأولى - الجهة التي أحالته، نوع العلاج الذي أعطي له ( نوع الجلسة)- إسم القائم بالعلاج ( إعطاء الجلسة) -  تاريخ الزيارة القادمة – مواعيد الجلسات(.</t>
    </r>
  </si>
  <si>
    <r>
      <rPr>
        <b/>
        <sz val="14"/>
        <rFont val="Times New Roman"/>
        <charset val="134"/>
      </rPr>
      <t xml:space="preserve">يمنح المريض بطاقة يدون فيها: 
إسم المريض الرباعى- رقم الملف / الإيصال -  مواعيد الجلسات - نوع العلاج </t>
    </r>
  </si>
  <si>
    <r>
      <rPr>
        <b/>
        <sz val="14"/>
        <rFont val="Times New Roman"/>
        <charset val="134"/>
      </rPr>
      <t>وضع  قائمة  بالخدمات الصحية و أسعارها  في مكان بارز وبخط واضح.</t>
    </r>
  </si>
  <si>
    <t>مكافحة العدوى بالعلاج الطبيعى:</t>
  </si>
  <si>
    <r>
      <rPr>
        <b/>
        <sz val="14"/>
        <rFont val="Times New Roman"/>
        <charset val="134"/>
      </rPr>
      <t>يتم تنظيف وتطهير معدات العلاج الطبيعي بشكل دوري وبعد كل مريض.</t>
    </r>
  </si>
  <si>
    <r>
      <rPr>
        <b/>
        <sz val="14"/>
        <rFont val="Times New Roman"/>
        <charset val="134"/>
      </rPr>
      <t>يوجد جدول زمني لأنشطة التنظيف والتطهير.</t>
    </r>
  </si>
  <si>
    <r>
      <rPr>
        <b/>
        <sz val="14"/>
        <rFont val="Times New Roman"/>
        <charset val="134"/>
      </rPr>
      <t>الإلتزام بغسيل الأيدى .</t>
    </r>
  </si>
  <si>
    <r>
      <rPr>
        <b/>
        <sz val="14"/>
        <rFont val="Times New Roman"/>
        <charset val="134"/>
      </rPr>
      <t>وجود كارت تعريف و كارت صيانة دورية لكل جهاز.</t>
    </r>
  </si>
  <si>
    <t>المحافظة : الاسكندرية</t>
  </si>
  <si>
    <t>إسم المستشفي : أطفال الرمل</t>
  </si>
  <si>
    <t xml:space="preserve">إسم القائم بالتقييم : د/ آية المؤذن </t>
  </si>
  <si>
    <t>نوع المستشفي    : تخصصي أطفال</t>
  </si>
  <si>
    <r>
      <rPr>
        <b/>
        <sz val="16"/>
        <rFont val="Times New Roman"/>
        <charset val="134"/>
      </rPr>
      <t xml:space="preserve">نتيجة التقييم : </t>
    </r>
  </si>
  <si>
    <r>
      <rPr>
        <b/>
        <sz val="14"/>
        <rFont val="Times New Roman"/>
        <charset val="134"/>
      </rPr>
      <t>البــــند</t>
    </r>
  </si>
  <si>
    <r>
      <rPr>
        <b/>
        <sz val="14"/>
        <rFont val="Times New Roman"/>
        <charset val="134"/>
      </rPr>
      <t>النسبة المئوية</t>
    </r>
  </si>
  <si>
    <r>
      <rPr>
        <b/>
        <sz val="12"/>
        <rFont val="Times New Roman"/>
        <charset val="134"/>
      </rPr>
      <t>الإشتراطات العامة</t>
    </r>
  </si>
  <si>
    <r>
      <rPr>
        <b/>
        <sz val="12"/>
        <rFont val="Times New Roman"/>
        <charset val="134"/>
      </rPr>
      <t>السياسات و الإجراءات</t>
    </r>
  </si>
  <si>
    <r>
      <rPr>
        <b/>
        <sz val="12"/>
        <rFont val="Times New Roman"/>
        <charset val="134"/>
      </rPr>
      <t>بروتوكولات العمل</t>
    </r>
  </si>
  <si>
    <r>
      <rPr>
        <b/>
        <sz val="12"/>
        <rFont val="Times New Roman"/>
        <charset val="134"/>
      </rPr>
      <t>لجان المستشفى</t>
    </r>
  </si>
  <si>
    <r>
      <rPr>
        <b/>
        <sz val="12"/>
        <rFont val="Times New Roman"/>
        <charset val="134"/>
      </rPr>
      <t>التسجيل الطبى</t>
    </r>
  </si>
  <si>
    <r>
      <rPr>
        <b/>
        <sz val="12"/>
        <rFont val="Times New Roman"/>
        <charset val="134"/>
      </rPr>
      <t>السجلات</t>
    </r>
  </si>
  <si>
    <r>
      <rPr>
        <b/>
        <sz val="12"/>
        <rFont val="Times New Roman"/>
        <charset val="134"/>
      </rPr>
      <t>الإقرارات</t>
    </r>
  </si>
  <si>
    <r>
      <rPr>
        <b/>
        <sz val="12"/>
        <rFont val="Times New Roman"/>
        <charset val="134"/>
      </rPr>
      <t xml:space="preserve">العناية المركزة </t>
    </r>
  </si>
  <si>
    <r>
      <rPr>
        <b/>
        <sz val="12"/>
        <rFont val="Times New Roman"/>
        <charset val="134"/>
      </rPr>
      <t>الطوارئ</t>
    </r>
  </si>
  <si>
    <r>
      <rPr>
        <b/>
        <sz val="12"/>
        <rFont val="Times New Roman"/>
        <charset val="134"/>
      </rPr>
      <t xml:space="preserve">غرفة العقر </t>
    </r>
  </si>
  <si>
    <r>
      <rPr>
        <b/>
        <sz val="12"/>
        <rFont val="Times New Roman"/>
        <charset val="134"/>
      </rPr>
      <t xml:space="preserve">العمليات </t>
    </r>
  </si>
  <si>
    <r>
      <rPr>
        <b/>
        <sz val="12"/>
        <rFont val="Times New Roman"/>
        <charset val="134"/>
      </rPr>
      <t>الإفاقة</t>
    </r>
  </si>
  <si>
    <r>
      <rPr>
        <b/>
        <sz val="12"/>
        <rFont val="Times New Roman"/>
        <charset val="134"/>
      </rPr>
      <t>وحدة المناظير</t>
    </r>
  </si>
  <si>
    <r>
      <rPr>
        <b/>
        <sz val="12"/>
        <rFont val="Times New Roman"/>
        <charset val="134"/>
      </rPr>
      <t>وحدة القسطرة القلبية</t>
    </r>
  </si>
  <si>
    <r>
      <rPr>
        <b/>
        <sz val="12"/>
        <rFont val="Times New Roman"/>
        <charset val="134"/>
      </rPr>
      <t>المبتسرين</t>
    </r>
  </si>
  <si>
    <r>
      <rPr>
        <b/>
        <sz val="12"/>
        <rFont val="Times New Roman"/>
        <charset val="134"/>
      </rPr>
      <t>وحدة الغسيل الكلوي</t>
    </r>
  </si>
  <si>
    <r>
      <rPr>
        <b/>
        <sz val="12"/>
        <rFont val="Times New Roman"/>
        <charset val="134"/>
      </rPr>
      <t>قسم الحروق</t>
    </r>
  </si>
  <si>
    <r>
      <rPr>
        <b/>
        <sz val="12"/>
        <rFont val="Times New Roman"/>
        <charset val="134"/>
      </rPr>
      <t>العيادات الخارجية</t>
    </r>
  </si>
  <si>
    <r>
      <rPr>
        <b/>
        <sz val="12"/>
        <rFont val="Times New Roman"/>
        <charset val="134"/>
      </rPr>
      <t>الأقسام الداخلية</t>
    </r>
  </si>
  <si>
    <r>
      <rPr>
        <b/>
        <sz val="12"/>
        <rFont val="Times New Roman"/>
        <charset val="134"/>
      </rPr>
      <t>الأورام</t>
    </r>
  </si>
  <si>
    <r>
      <rPr>
        <b/>
        <sz val="12"/>
        <rFont val="Times New Roman"/>
        <charset val="134"/>
      </rPr>
      <t>التشخيص عن بعد</t>
    </r>
  </si>
  <si>
    <r>
      <rPr>
        <b/>
        <sz val="12"/>
        <rFont val="Times New Roman"/>
        <charset val="134"/>
      </rPr>
      <t>مواصفات غرف العزل</t>
    </r>
  </si>
  <si>
    <r>
      <rPr>
        <b/>
        <sz val="12"/>
        <rFont val="Times New Roman"/>
        <charset val="134"/>
      </rPr>
      <t xml:space="preserve">الصيدلية </t>
    </r>
  </si>
  <si>
    <r>
      <rPr>
        <b/>
        <sz val="12"/>
        <rFont val="Times New Roman"/>
        <charset val="134"/>
      </rPr>
      <t>المعمل</t>
    </r>
  </si>
  <si>
    <r>
      <rPr>
        <b/>
        <sz val="12"/>
        <rFont val="Times New Roman"/>
        <charset val="134"/>
      </rPr>
      <t>الأشعة</t>
    </r>
  </si>
  <si>
    <r>
      <rPr>
        <b/>
        <sz val="12"/>
        <rFont val="Times New Roman"/>
        <charset val="134"/>
      </rPr>
      <t>بنك الدم</t>
    </r>
  </si>
  <si>
    <r>
      <rPr>
        <b/>
        <sz val="12"/>
        <rFont val="Times New Roman"/>
        <charset val="134"/>
      </rPr>
      <t>التعقيم</t>
    </r>
  </si>
  <si>
    <r>
      <rPr>
        <b/>
        <sz val="12"/>
        <rFont val="Times New Roman"/>
        <charset val="134"/>
      </rPr>
      <t>وحدة غسيل المفروشات</t>
    </r>
  </si>
  <si>
    <r>
      <rPr>
        <b/>
        <sz val="12"/>
        <rFont val="Times New Roman"/>
        <charset val="134"/>
      </rPr>
      <t>وحدة التغذية (المطبخ)</t>
    </r>
  </si>
  <si>
    <r>
      <rPr>
        <b/>
        <sz val="12"/>
        <rFont val="Times New Roman"/>
        <charset val="134"/>
      </rPr>
      <t>غرفة حفظ الموتى</t>
    </r>
  </si>
  <si>
    <r>
      <rPr>
        <b/>
        <sz val="12"/>
        <rFont val="Times New Roman"/>
        <charset val="134"/>
      </rPr>
      <t>غرفة النفايات</t>
    </r>
  </si>
  <si>
    <r>
      <rPr>
        <b/>
        <sz val="12"/>
        <rFont val="Times New Roman"/>
        <charset val="134"/>
      </rPr>
      <t>الإنضباط  و الإلتزام الإداري</t>
    </r>
  </si>
  <si>
    <r>
      <rPr>
        <b/>
        <sz val="12"/>
        <rFont val="Times New Roman"/>
        <charset val="134"/>
      </rPr>
      <t>سكن الأطباء و التمريض</t>
    </r>
  </si>
  <si>
    <r>
      <rPr>
        <b/>
        <sz val="12"/>
        <rFont val="Times New Roman"/>
        <charset val="134"/>
      </rPr>
      <t>تقييم و مراقبة أداء الخدمات الصحية المقدمة بالمنشأة</t>
    </r>
  </si>
  <si>
    <r>
      <rPr>
        <b/>
        <sz val="12"/>
        <rFont val="Times New Roman"/>
        <charset val="134"/>
      </rPr>
      <t>العلاج الطبيعى</t>
    </r>
  </si>
  <si>
    <t xml:space="preserve">إعتماد رئيس الفريق </t>
  </si>
  <si>
    <t xml:space="preserve">تواريخ التقييم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</si>
</sst>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1"/>
      <name val="Calibri"/>
      <charset val="134"/>
    </font>
    <font>
      <sz val="11"/>
      <name val="Calibri"/>
      <charset val="134"/>
    </font>
    <font>
      <b/>
      <sz val="16"/>
      <name val="Times New Roman"/>
      <charset val="178"/>
    </font>
    <font>
      <b/>
      <sz val="12"/>
      <name val="Times New Roman"/>
      <charset val="134"/>
    </font>
    <font>
      <b/>
      <sz val="10"/>
      <name val="Times New Roman"/>
      <charset val="178"/>
    </font>
    <font>
      <b/>
      <sz val="14"/>
      <name val="Times New Roman"/>
      <charset val="178"/>
    </font>
    <font>
      <b/>
      <sz val="12"/>
      <name val="Times New Roman"/>
      <charset val="178"/>
    </font>
    <font>
      <b/>
      <sz val="14"/>
      <name val="Traditional Arabic"/>
      <charset val="134"/>
    </font>
    <font>
      <b/>
      <sz val="16"/>
      <name val="Times New Roman"/>
      <charset val="134"/>
    </font>
    <font>
      <b/>
      <sz val="20"/>
      <color rgb="FF002060"/>
      <name val="Arial Narrow"/>
      <charset val="134"/>
    </font>
    <font>
      <b/>
      <sz val="14"/>
      <name val="Times New Roman"/>
      <charset val="134"/>
    </font>
    <font>
      <b/>
      <sz val="14"/>
      <name val="Calibri"/>
      <charset val="134"/>
    </font>
    <font>
      <b/>
      <sz val="20"/>
      <name val="Times New Roman"/>
      <charset val="178"/>
    </font>
    <font>
      <b/>
      <sz val="11"/>
      <name val="Calibri"/>
      <charset val="134"/>
    </font>
    <font>
      <b/>
      <sz val="24"/>
      <name val="Times New Roman"/>
      <charset val="134"/>
    </font>
    <font>
      <b/>
      <sz val="26"/>
      <name val="Times New Roman"/>
      <charset val="178"/>
    </font>
    <font>
      <b/>
      <sz val="26"/>
      <name val="Traditional Arabic"/>
      <charset val="178"/>
    </font>
    <font>
      <b/>
      <sz val="20"/>
      <name val="Times New Roman"/>
      <charset val="134"/>
    </font>
    <font>
      <b/>
      <sz val="20"/>
      <name val="Arial"/>
      <charset val="134"/>
    </font>
    <font>
      <b/>
      <sz val="20"/>
      <color theme="1"/>
      <name val="Calibri"/>
      <charset val="178"/>
      <scheme val="minor"/>
    </font>
    <font>
      <b/>
      <sz val="14"/>
      <name val="Symbol"/>
      <charset val="178"/>
    </font>
    <font>
      <b/>
      <sz val="12"/>
      <name val="Symbol"/>
      <charset val="178"/>
    </font>
    <font>
      <b/>
      <sz val="14"/>
      <name val="Wingdings"/>
      <charset val="2"/>
    </font>
    <font>
      <b/>
      <sz val="12"/>
      <name val="Wingdings"/>
      <charset val="2"/>
    </font>
    <font>
      <b/>
      <sz val="12"/>
      <name val="Calibri"/>
      <charset val="134"/>
      <scheme val="minor"/>
    </font>
    <font>
      <b/>
      <sz val="14"/>
      <color rgb="FF001D35"/>
      <name val="Times New Roman"/>
      <charset val="178"/>
    </font>
    <font>
      <b/>
      <sz val="12"/>
      <color rgb="FF001D35"/>
      <name val="Times New Roman"/>
      <charset val="178"/>
    </font>
    <font>
      <b/>
      <sz val="14"/>
      <name val="Traditional Arabic"/>
      <charset val="178"/>
    </font>
    <font>
      <b/>
      <sz val="11"/>
      <name val="Traditional Arabic"/>
      <charset val="178"/>
    </font>
    <font>
      <b/>
      <sz val="12"/>
      <name val="Traditional Arabic"/>
      <charset val="178"/>
    </font>
    <font>
      <b/>
      <sz val="11"/>
      <name val="Times New Roman"/>
      <charset val="178"/>
    </font>
    <font>
      <b/>
      <sz val="14"/>
      <name val="Arial"/>
      <charset val="178"/>
    </font>
    <font>
      <b/>
      <sz val="12"/>
      <name val="Arial"/>
      <charset val="178"/>
    </font>
    <font>
      <b/>
      <sz val="14"/>
      <name val="SKR HEAD1"/>
      <charset val="178"/>
    </font>
    <font>
      <b/>
      <sz val="14"/>
      <name val="Symbol"/>
      <charset val="134"/>
    </font>
    <font>
      <b/>
      <sz val="14"/>
      <name val="Arial"/>
      <charset val="134"/>
    </font>
    <font>
      <b/>
      <sz val="14"/>
      <color rgb="FF001D35"/>
      <name val="Times New Roman"/>
      <charset val="134"/>
    </font>
    <font>
      <b/>
      <sz val="14"/>
      <color rgb="FF303D47"/>
      <name val="Times New Roman"/>
      <charset val="134"/>
    </font>
    <font>
      <b/>
      <u/>
      <sz val="14"/>
      <name val="Times New Roman"/>
      <charset val="134"/>
    </font>
    <font>
      <b/>
      <sz val="14"/>
      <color rgb="FF474747"/>
      <name val="Arial"/>
      <charset val="134"/>
    </font>
    <font>
      <b/>
      <sz val="14"/>
      <color rgb="FF474747"/>
      <name val="Times New Roman"/>
      <charset val="134"/>
    </font>
  </fonts>
  <fills count="1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D2EAF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5B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A6A6A6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rgb="FF4BACC6"/>
      </left>
      <right style="medium">
        <color rgb="FF4BACC6"/>
      </right>
      <top style="thick">
        <color rgb="FF4BACC6"/>
      </top>
      <bottom style="thick">
        <color rgb="FF4BACC6"/>
      </bottom>
      <diagonal/>
    </border>
    <border>
      <left style="medium">
        <color rgb="FF4BACC6"/>
      </left>
      <right style="medium">
        <color rgb="FF4BACC6"/>
      </right>
      <top style="thick">
        <color rgb="FF4BACC6"/>
      </top>
      <bottom style="thick">
        <color rgb="FF4BACC6"/>
      </bottom>
      <diagonal/>
    </border>
    <border>
      <left style="thick">
        <color rgb="FF4BACC6"/>
      </left>
      <right style="medium">
        <color rgb="FF4BACC6"/>
      </right>
      <top style="medium">
        <color rgb="FF4BACC6"/>
      </top>
      <bottom style="medium">
        <color rgb="FF4BACC6"/>
      </bottom>
      <diagonal/>
    </border>
    <border>
      <left style="medium">
        <color rgb="FF4BACC6"/>
      </left>
      <right style="medium">
        <color rgb="FF4BACC6"/>
      </right>
      <top style="medium">
        <color rgb="FF4BACC6"/>
      </top>
      <bottom style="medium">
        <color rgb="FF4BACC6"/>
      </bottom>
      <diagonal/>
    </border>
    <border>
      <left style="thick">
        <color rgb="FF4BACC6"/>
      </left>
      <right/>
      <top/>
      <bottom style="thick">
        <color rgb="FF4BACC6"/>
      </bottom>
      <diagonal/>
    </border>
    <border>
      <left style="medium">
        <color rgb="FF4BACC6"/>
      </left>
      <right style="medium">
        <color rgb="FF4BACC6"/>
      </right>
      <top style="double">
        <color rgb="FF4BACC6"/>
      </top>
      <bottom style="thick">
        <color rgb="FF4BACC6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rgb="FF4BACC6"/>
      </left>
      <right style="thick">
        <color rgb="FF4BACC6"/>
      </right>
      <top style="thick">
        <color rgb="FF4BACC6"/>
      </top>
      <bottom style="medium">
        <color rgb="FF4BACC6"/>
      </bottom>
      <diagonal/>
    </border>
    <border>
      <left style="medium">
        <color rgb="FF4BACC6"/>
      </left>
      <right style="thick">
        <color rgb="FF4BACC6"/>
      </right>
      <top style="medium">
        <color rgb="FF4BACC6"/>
      </top>
      <bottom style="thick">
        <color rgb="FF4BACC6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ck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ck">
        <color auto="1"/>
      </right>
      <top style="medium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</borders>
  <cellStyleXfs count="2">
    <xf numFmtId="0" fontId="0" fillId="0" borderId="0" applyBorder="0"/>
    <xf numFmtId="9" fontId="1" fillId="0" borderId="0" applyFont="0" applyFill="0" applyBorder="0" applyAlignment="0" applyProtection="0"/>
  </cellStyleXfs>
  <cellXfs count="133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0" borderId="4" xfId="0" applyFont="1" applyBorder="1" applyAlignment="1">
      <alignment horizontal="center" vertical="center" wrapText="1" readingOrder="2"/>
    </xf>
    <xf numFmtId="0" fontId="5" fillId="4" borderId="5" xfId="0" applyFont="1" applyFill="1" applyBorder="1" applyAlignment="1">
      <alignment horizontal="right" vertical="center" wrapText="1" readingOrder="2"/>
    </xf>
    <xf numFmtId="0" fontId="3" fillId="4" borderId="6" xfId="0" applyFont="1" applyFill="1" applyBorder="1" applyAlignment="1">
      <alignment horizontal="center" vertical="center" wrapText="1" readingOrder="2"/>
    </xf>
    <xf numFmtId="0" fontId="6" fillId="4" borderId="7" xfId="0" applyFont="1" applyFill="1" applyBorder="1" applyAlignment="1">
      <alignment horizontal="right" vertical="center" wrapText="1" readingOrder="2"/>
    </xf>
    <xf numFmtId="0" fontId="3" fillId="0" borderId="6" xfId="0" applyFont="1" applyBorder="1" applyAlignment="1">
      <alignment horizontal="center" vertical="center" wrapText="1" readingOrder="2"/>
    </xf>
    <xf numFmtId="0" fontId="0" fillId="0" borderId="8" xfId="0" applyBorder="1"/>
    <xf numFmtId="0" fontId="3" fillId="0" borderId="9" xfId="0" applyFont="1" applyBorder="1" applyAlignment="1">
      <alignment horizontal="center" vertical="center" wrapText="1" readingOrder="2"/>
    </xf>
    <xf numFmtId="0" fontId="0" fillId="5" borderId="0" xfId="0" applyFill="1"/>
    <xf numFmtId="0" fontId="3" fillId="5" borderId="0" xfId="0" applyFont="1" applyFill="1" applyAlignment="1">
      <alignment horizontal="center" vertical="center" wrapText="1" readingOrder="2"/>
    </xf>
    <xf numFmtId="0" fontId="2" fillId="5" borderId="0" xfId="0" applyFont="1" applyFill="1" applyAlignment="1">
      <alignment horizontal="right" vertical="center" wrapText="1" readingOrder="2"/>
    </xf>
    <xf numFmtId="0" fontId="2" fillId="3" borderId="10" xfId="0" applyFont="1" applyFill="1" applyBorder="1" applyAlignment="1" applyProtection="1">
      <alignment vertical="center" wrapText="1" readingOrder="2"/>
      <protection locked="0"/>
    </xf>
    <xf numFmtId="9" fontId="9" fillId="6" borderId="11" xfId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13" xfId="0" applyFont="1" applyBorder="1" applyAlignment="1">
      <alignment horizontal="center" vertical="center" wrapText="1" readingOrder="2"/>
    </xf>
    <xf numFmtId="9" fontId="11" fillId="7" borderId="14" xfId="0" applyNumberFormat="1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 wrapText="1" readingOrder="2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3" fillId="0" borderId="0" xfId="0" applyFont="1"/>
    <xf numFmtId="0" fontId="5" fillId="11" borderId="35" xfId="0" applyFont="1" applyFill="1" applyBorder="1" applyAlignment="1">
      <alignment horizontal="center" vertical="center" wrapText="1" readingOrder="2"/>
    </xf>
    <xf numFmtId="0" fontId="5" fillId="0" borderId="36" xfId="0" applyFont="1" applyBorder="1" applyAlignment="1">
      <alignment horizontal="right" vertical="center" wrapText="1" readingOrder="2"/>
    </xf>
    <xf numFmtId="0" fontId="19" fillId="0" borderId="37" xfId="0" applyFont="1" applyBorder="1" applyAlignment="1" applyProtection="1">
      <alignment horizontal="center" vertical="center"/>
      <protection locked="0"/>
    </xf>
    <xf numFmtId="0" fontId="6" fillId="0" borderId="38" xfId="0" applyFont="1" applyBorder="1" applyAlignment="1" applyProtection="1">
      <alignment horizontal="center" vertical="center" wrapText="1" readingOrder="2"/>
      <protection locked="0"/>
    </xf>
    <xf numFmtId="9" fontId="18" fillId="12" borderId="42" xfId="0" applyNumberFormat="1" applyFont="1" applyFill="1" applyBorder="1" applyAlignment="1">
      <alignment horizontal="center" vertical="center" wrapText="1" readingOrder="2"/>
    </xf>
    <xf numFmtId="0" fontId="5" fillId="0" borderId="36" xfId="0" applyFont="1" applyBorder="1" applyAlignment="1">
      <alignment horizontal="right" vertical="center" wrapText="1" readingOrder="1"/>
    </xf>
    <xf numFmtId="0" fontId="6" fillId="0" borderId="38" xfId="0" applyFont="1" applyBorder="1" applyAlignment="1" applyProtection="1">
      <alignment horizontal="center" vertical="center" wrapText="1" readingOrder="1"/>
      <protection locked="0"/>
    </xf>
    <xf numFmtId="9" fontId="12" fillId="12" borderId="42" xfId="0" applyNumberFormat="1" applyFont="1" applyFill="1" applyBorder="1" applyAlignment="1">
      <alignment horizontal="center" vertical="center" wrapText="1" readingOrder="2"/>
    </xf>
    <xf numFmtId="0" fontId="20" fillId="0" borderId="36" xfId="0" applyFont="1" applyBorder="1" applyAlignment="1">
      <alignment horizontal="right" vertical="center" wrapText="1" readingOrder="2"/>
    </xf>
    <xf numFmtId="0" fontId="21" fillId="0" borderId="38" xfId="0" applyFont="1" applyBorder="1" applyAlignment="1" applyProtection="1">
      <alignment horizontal="center" vertical="center" wrapText="1" readingOrder="2"/>
      <protection locked="0"/>
    </xf>
    <xf numFmtId="0" fontId="5" fillId="11" borderId="36" xfId="0" applyFont="1" applyFill="1" applyBorder="1" applyAlignment="1">
      <alignment horizontal="right" vertical="center" wrapText="1" readingOrder="2"/>
    </xf>
    <xf numFmtId="0" fontId="6" fillId="11" borderId="38" xfId="0" applyFont="1" applyFill="1" applyBorder="1" applyAlignment="1" applyProtection="1">
      <alignment horizontal="center" vertical="center" wrapText="1" readingOrder="2"/>
      <protection locked="0"/>
    </xf>
    <xf numFmtId="0" fontId="22" fillId="11" borderId="36" xfId="0" applyFont="1" applyFill="1" applyBorder="1" applyAlignment="1">
      <alignment horizontal="right" vertical="center" wrapText="1" readingOrder="2"/>
    </xf>
    <xf numFmtId="0" fontId="23" fillId="11" borderId="38" xfId="0" applyFont="1" applyFill="1" applyBorder="1" applyAlignment="1" applyProtection="1">
      <alignment horizontal="center" vertical="center" wrapText="1" readingOrder="2"/>
      <protection locked="0"/>
    </xf>
    <xf numFmtId="0" fontId="20" fillId="11" borderId="36" xfId="0" applyFont="1" applyFill="1" applyBorder="1" applyAlignment="1">
      <alignment horizontal="right" vertical="center" wrapText="1" readingOrder="2"/>
    </xf>
    <xf numFmtId="0" fontId="21" fillId="11" borderId="38" xfId="0" applyFont="1" applyFill="1" applyBorder="1" applyAlignment="1" applyProtection="1">
      <alignment horizontal="center" vertical="center" wrapText="1" readingOrder="2"/>
      <protection locked="0"/>
    </xf>
    <xf numFmtId="0" fontId="24" fillId="11" borderId="38" xfId="0" applyFont="1" applyFill="1" applyBorder="1" applyAlignment="1" applyProtection="1">
      <alignment horizontal="center" vertical="center" wrapText="1" readingOrder="2"/>
      <protection locked="0"/>
    </xf>
    <xf numFmtId="0" fontId="5" fillId="11" borderId="35" xfId="0" applyFont="1" applyFill="1" applyBorder="1" applyAlignment="1">
      <alignment horizontal="center" vertical="center" wrapText="1" readingOrder="1"/>
    </xf>
    <xf numFmtId="0" fontId="25" fillId="11" borderId="36" xfId="0" applyFont="1" applyFill="1" applyBorder="1" applyAlignment="1">
      <alignment horizontal="right" vertical="center" wrapText="1" readingOrder="2"/>
    </xf>
    <xf numFmtId="0" fontId="26" fillId="11" borderId="38" xfId="0" applyFont="1" applyFill="1" applyBorder="1" applyAlignment="1" applyProtection="1">
      <alignment horizontal="center" vertical="center" wrapText="1" readingOrder="2"/>
      <protection locked="0"/>
    </xf>
    <xf numFmtId="0" fontId="27" fillId="11" borderId="36" xfId="0" applyFont="1" applyFill="1" applyBorder="1" applyAlignment="1">
      <alignment horizontal="right" vertical="center" wrapText="1" readingOrder="2"/>
    </xf>
    <xf numFmtId="0" fontId="28" fillId="11" borderId="38" xfId="0" applyFont="1" applyFill="1" applyBorder="1" applyAlignment="1" applyProtection="1">
      <alignment horizontal="center" vertical="center" wrapText="1" readingOrder="2"/>
      <protection locked="0"/>
    </xf>
    <xf numFmtId="0" fontId="29" fillId="11" borderId="38" xfId="0" applyFont="1" applyFill="1" applyBorder="1" applyAlignment="1" applyProtection="1">
      <alignment horizontal="center" vertical="center" wrapText="1" readingOrder="2"/>
      <protection locked="0"/>
    </xf>
    <xf numFmtId="0" fontId="5" fillId="0" borderId="18" xfId="0" applyFont="1" applyBorder="1" applyAlignment="1">
      <alignment horizontal="center" vertical="center"/>
    </xf>
    <xf numFmtId="0" fontId="5" fillId="13" borderId="36" xfId="0" applyFont="1" applyFill="1" applyBorder="1" applyAlignment="1">
      <alignment horizontal="right" vertical="center" wrapText="1" readingOrder="2"/>
    </xf>
    <xf numFmtId="0" fontId="5" fillId="13" borderId="38" xfId="0" applyFont="1" applyFill="1" applyBorder="1" applyAlignment="1" applyProtection="1">
      <alignment horizontal="center" vertical="center" wrapText="1" readingOrder="2"/>
      <protection locked="0"/>
    </xf>
    <xf numFmtId="0" fontId="3" fillId="11" borderId="38" xfId="0" applyFont="1" applyFill="1" applyBorder="1" applyAlignment="1" applyProtection="1">
      <alignment horizontal="center" vertical="center" wrapText="1" readingOrder="2"/>
      <protection locked="0"/>
    </xf>
    <xf numFmtId="0" fontId="30" fillId="11" borderId="38" xfId="0" applyFont="1" applyFill="1" applyBorder="1" applyAlignment="1" applyProtection="1">
      <alignment horizontal="center" vertical="center" wrapText="1" readingOrder="2"/>
      <protection locked="0"/>
    </xf>
    <xf numFmtId="0" fontId="31" fillId="11" borderId="36" xfId="0" applyFont="1" applyFill="1" applyBorder="1" applyAlignment="1">
      <alignment horizontal="right" vertical="center" wrapText="1" readingOrder="2"/>
    </xf>
    <xf numFmtId="0" fontId="32" fillId="11" borderId="38" xfId="0" applyFont="1" applyFill="1" applyBorder="1" applyAlignment="1" applyProtection="1">
      <alignment horizontal="center" vertical="center" wrapText="1" readingOrder="2"/>
      <protection locked="0"/>
    </xf>
    <xf numFmtId="0" fontId="5" fillId="11" borderId="36" xfId="0" applyFont="1" applyFill="1" applyBorder="1" applyAlignment="1">
      <alignment horizontal="center" vertical="center" wrapText="1" readingOrder="2"/>
    </xf>
    <xf numFmtId="0" fontId="5" fillId="11" borderId="38" xfId="0" applyFont="1" applyFill="1" applyBorder="1" applyAlignment="1" applyProtection="1">
      <alignment horizontal="center" vertical="center" wrapText="1" readingOrder="2"/>
      <protection locked="0"/>
    </xf>
    <xf numFmtId="0" fontId="10" fillId="11" borderId="38" xfId="0" applyFont="1" applyFill="1" applyBorder="1" applyAlignment="1" applyProtection="1">
      <alignment horizontal="center" vertical="center" wrapText="1" readingOrder="2"/>
      <protection locked="0"/>
    </xf>
    <xf numFmtId="0" fontId="6" fillId="11" borderId="38" xfId="0" applyFont="1" applyFill="1" applyBorder="1" applyAlignment="1">
      <alignment horizontal="center" vertical="center" wrapText="1" readingOrder="2"/>
    </xf>
    <xf numFmtId="9" fontId="18" fillId="12" borderId="51" xfId="0" applyNumberFormat="1" applyFont="1" applyFill="1" applyBorder="1" applyAlignment="1">
      <alignment horizontal="center" vertical="center" wrapText="1" readingOrder="2"/>
    </xf>
    <xf numFmtId="0" fontId="33" fillId="0" borderId="0" xfId="0" applyFont="1" applyAlignment="1">
      <alignment horizontal="right" vertical="center" wrapText="1" readingOrder="2"/>
    </xf>
    <xf numFmtId="0" fontId="12" fillId="0" borderId="0" xfId="0" applyFont="1" applyAlignment="1">
      <alignment horizontal="center" vertical="center" wrapText="1" readingOrder="2"/>
    </xf>
    <xf numFmtId="0" fontId="6" fillId="0" borderId="0" xfId="0" applyFont="1" applyAlignment="1">
      <alignment horizontal="center" vertical="center" wrapText="1" readingOrder="2"/>
    </xf>
    <xf numFmtId="0" fontId="18" fillId="7" borderId="39" xfId="0" applyFont="1" applyFill="1" applyBorder="1" applyAlignment="1">
      <alignment horizontal="center" vertical="center" wrapText="1" readingOrder="2"/>
    </xf>
    <xf numFmtId="0" fontId="18" fillId="7" borderId="40" xfId="0" applyFont="1" applyFill="1" applyBorder="1" applyAlignment="1">
      <alignment horizontal="center" vertical="center" wrapText="1" readingOrder="2"/>
    </xf>
    <xf numFmtId="0" fontId="18" fillId="7" borderId="41" xfId="0" applyFont="1" applyFill="1" applyBorder="1" applyAlignment="1">
      <alignment horizontal="center" vertical="center" wrapText="1" readingOrder="2"/>
    </xf>
    <xf numFmtId="0" fontId="18" fillId="12" borderId="48" xfId="0" applyFont="1" applyFill="1" applyBorder="1" applyAlignment="1">
      <alignment horizontal="center" vertical="center" wrapText="1" readingOrder="2"/>
    </xf>
    <xf numFmtId="0" fontId="18" fillId="12" borderId="49" xfId="0" applyFont="1" applyFill="1" applyBorder="1" applyAlignment="1">
      <alignment horizontal="center" vertical="center" wrapText="1" readingOrder="2"/>
    </xf>
    <xf numFmtId="0" fontId="18" fillId="12" borderId="50" xfId="0" applyFont="1" applyFill="1" applyBorder="1" applyAlignment="1">
      <alignment horizontal="center" vertical="center" wrapText="1" readingOrder="2"/>
    </xf>
    <xf numFmtId="0" fontId="15" fillId="3" borderId="23" xfId="0" applyFont="1" applyFill="1" applyBorder="1" applyAlignment="1">
      <alignment horizontal="center" vertical="center" wrapText="1" readingOrder="2"/>
    </xf>
    <xf numFmtId="0" fontId="15" fillId="3" borderId="26" xfId="0" applyFont="1" applyFill="1" applyBorder="1" applyAlignment="1">
      <alignment horizontal="center" vertical="center" wrapText="1" readingOrder="2"/>
    </xf>
    <xf numFmtId="0" fontId="16" fillId="3" borderId="24" xfId="0" applyFont="1" applyFill="1" applyBorder="1" applyAlignment="1">
      <alignment horizontal="center" vertical="center" wrapText="1" readingOrder="2"/>
    </xf>
    <xf numFmtId="0" fontId="16" fillId="3" borderId="27" xfId="0" applyFont="1" applyFill="1" applyBorder="1" applyAlignment="1">
      <alignment horizontal="center" vertical="center" wrapText="1" readingOrder="2"/>
    </xf>
    <xf numFmtId="0" fontId="16" fillId="3" borderId="25" xfId="0" applyFont="1" applyFill="1" applyBorder="1" applyAlignment="1">
      <alignment horizontal="center" vertical="center" wrapText="1" readingOrder="2"/>
    </xf>
    <xf numFmtId="0" fontId="16" fillId="3" borderId="28" xfId="0" applyFont="1" applyFill="1" applyBorder="1" applyAlignment="1">
      <alignment horizontal="center" vertical="center" wrapText="1" readingOrder="2"/>
    </xf>
    <xf numFmtId="0" fontId="14" fillId="8" borderId="18" xfId="0" applyFont="1" applyFill="1" applyBorder="1" applyAlignment="1">
      <alignment horizontal="center" vertical="center" wrapText="1" readingOrder="2"/>
    </xf>
    <xf numFmtId="0" fontId="14" fillId="8" borderId="0" xfId="0" applyFont="1" applyFill="1" applyAlignment="1">
      <alignment horizontal="center" vertical="center" wrapText="1" readingOrder="2"/>
    </xf>
    <xf numFmtId="0" fontId="14" fillId="8" borderId="19" xfId="0" applyFont="1" applyFill="1" applyBorder="1" applyAlignment="1">
      <alignment horizontal="center" vertical="center" wrapText="1" readingOrder="2"/>
    </xf>
    <xf numFmtId="0" fontId="14" fillId="8" borderId="20" xfId="0" applyFont="1" applyFill="1" applyBorder="1" applyAlignment="1">
      <alignment horizontal="center" vertical="center" wrapText="1" readingOrder="2"/>
    </xf>
    <xf numFmtId="0" fontId="14" fillId="8" borderId="21" xfId="0" applyFont="1" applyFill="1" applyBorder="1" applyAlignment="1">
      <alignment horizontal="center" vertical="center" wrapText="1" readingOrder="2"/>
    </xf>
    <xf numFmtId="0" fontId="14" fillId="8" borderId="22" xfId="0" applyFont="1" applyFill="1" applyBorder="1" applyAlignment="1">
      <alignment horizontal="center" vertical="center" wrapText="1" readingOrder="2"/>
    </xf>
    <xf numFmtId="0" fontId="18" fillId="12" borderId="45" xfId="0" applyFont="1" applyFill="1" applyBorder="1" applyAlignment="1">
      <alignment horizontal="center" vertical="center" wrapText="1" readingOrder="2"/>
    </xf>
    <xf numFmtId="0" fontId="18" fillId="12" borderId="46" xfId="0" applyFont="1" applyFill="1" applyBorder="1" applyAlignment="1">
      <alignment horizontal="center" vertical="center" wrapText="1" readingOrder="2"/>
    </xf>
    <xf numFmtId="0" fontId="18" fillId="12" borderId="47" xfId="0" applyFont="1" applyFill="1" applyBorder="1" applyAlignment="1">
      <alignment horizontal="center" vertical="center" wrapText="1" readingOrder="2"/>
    </xf>
    <xf numFmtId="0" fontId="18" fillId="10" borderId="32" xfId="0" applyFont="1" applyFill="1" applyBorder="1" applyAlignment="1">
      <alignment horizontal="center" vertical="center" wrapText="1" readingOrder="2"/>
    </xf>
    <xf numFmtId="0" fontId="18" fillId="10" borderId="33" xfId="0" applyFont="1" applyFill="1" applyBorder="1" applyAlignment="1">
      <alignment horizontal="center" vertical="center" wrapText="1" readingOrder="2"/>
    </xf>
    <xf numFmtId="0" fontId="18" fillId="10" borderId="34" xfId="0" applyFont="1" applyFill="1" applyBorder="1" applyAlignment="1">
      <alignment horizontal="center" vertical="center" wrapText="1" readingOrder="2"/>
    </xf>
    <xf numFmtId="0" fontId="18" fillId="15" borderId="32" xfId="0" applyFont="1" applyFill="1" applyBorder="1" applyAlignment="1">
      <alignment horizontal="center" vertical="center" wrapText="1" readingOrder="2"/>
    </xf>
    <xf numFmtId="0" fontId="18" fillId="15" borderId="33" xfId="0" applyFont="1" applyFill="1" applyBorder="1" applyAlignment="1">
      <alignment horizontal="center" vertical="center" wrapText="1" readingOrder="2"/>
    </xf>
    <xf numFmtId="0" fontId="18" fillId="15" borderId="34" xfId="0" applyFont="1" applyFill="1" applyBorder="1" applyAlignment="1">
      <alignment horizontal="center" vertical="center" wrapText="1" readingOrder="2"/>
    </xf>
    <xf numFmtId="0" fontId="18" fillId="10" borderId="39" xfId="0" applyFont="1" applyFill="1" applyBorder="1" applyAlignment="1">
      <alignment horizontal="center" vertical="center" wrapText="1" readingOrder="2"/>
    </xf>
    <xf numFmtId="0" fontId="18" fillId="10" borderId="40" xfId="0" applyFont="1" applyFill="1" applyBorder="1" applyAlignment="1">
      <alignment horizontal="center" vertical="center" wrapText="1" readingOrder="2"/>
    </xf>
    <xf numFmtId="0" fontId="18" fillId="10" borderId="41" xfId="0" applyFont="1" applyFill="1" applyBorder="1" applyAlignment="1">
      <alignment horizontal="center" vertical="center" wrapText="1" readingOrder="2"/>
    </xf>
    <xf numFmtId="0" fontId="18" fillId="9" borderId="18" xfId="0" applyFont="1" applyFill="1" applyBorder="1" applyAlignment="1">
      <alignment horizontal="center" vertical="center" wrapText="1" readingOrder="2"/>
    </xf>
    <xf numFmtId="0" fontId="18" fillId="9" borderId="0" xfId="0" applyFont="1" applyFill="1" applyAlignment="1">
      <alignment horizontal="center" vertical="center" wrapText="1" readingOrder="2"/>
    </xf>
    <xf numFmtId="0" fontId="18" fillId="9" borderId="19" xfId="0" applyFont="1" applyFill="1" applyBorder="1" applyAlignment="1">
      <alignment horizontal="center" vertical="center" wrapText="1" readingOrder="2"/>
    </xf>
    <xf numFmtId="0" fontId="18" fillId="10" borderId="18" xfId="0" applyFont="1" applyFill="1" applyBorder="1" applyAlignment="1">
      <alignment horizontal="center" vertical="center" wrapText="1" readingOrder="2"/>
    </xf>
    <xf numFmtId="0" fontId="18" fillId="10" borderId="0" xfId="0" applyFont="1" applyFill="1" applyAlignment="1">
      <alignment horizontal="center" vertical="center" wrapText="1" readingOrder="2"/>
    </xf>
    <xf numFmtId="0" fontId="18" fillId="10" borderId="19" xfId="0" applyFont="1" applyFill="1" applyBorder="1" applyAlignment="1">
      <alignment horizontal="center" vertical="center" wrapText="1" readingOrder="2"/>
    </xf>
    <xf numFmtId="0" fontId="18" fillId="7" borderId="32" xfId="0" applyFont="1" applyFill="1" applyBorder="1" applyAlignment="1">
      <alignment horizontal="center" vertical="center" wrapText="1" readingOrder="2"/>
    </xf>
    <xf numFmtId="0" fontId="18" fillId="7" borderId="33" xfId="0" applyFont="1" applyFill="1" applyBorder="1" applyAlignment="1">
      <alignment horizontal="center" vertical="center" wrapText="1" readingOrder="2"/>
    </xf>
    <xf numFmtId="0" fontId="18" fillId="7" borderId="34" xfId="0" applyFont="1" applyFill="1" applyBorder="1" applyAlignment="1">
      <alignment horizontal="center" vertical="center" wrapText="1" readingOrder="2"/>
    </xf>
    <xf numFmtId="0" fontId="18" fillId="12" borderId="39" xfId="0" applyFont="1" applyFill="1" applyBorder="1" applyAlignment="1">
      <alignment horizontal="center" vertical="center" wrapText="1" readingOrder="2"/>
    </xf>
    <xf numFmtId="0" fontId="18" fillId="12" borderId="40" xfId="0" applyFont="1" applyFill="1" applyBorder="1" applyAlignment="1">
      <alignment horizontal="center" vertical="center" wrapText="1" readingOrder="2"/>
    </xf>
    <xf numFmtId="0" fontId="5" fillId="7" borderId="39" xfId="0" applyFont="1" applyFill="1" applyBorder="1" applyAlignment="1">
      <alignment horizontal="center" vertical="center" wrapText="1" readingOrder="2"/>
    </xf>
    <xf numFmtId="0" fontId="5" fillId="7" borderId="40" xfId="0" applyFont="1" applyFill="1" applyBorder="1" applyAlignment="1">
      <alignment horizontal="center" vertical="center" wrapText="1" readingOrder="2"/>
    </xf>
    <xf numFmtId="0" fontId="5" fillId="7" borderId="41" xfId="0" applyFont="1" applyFill="1" applyBorder="1" applyAlignment="1">
      <alignment horizontal="center" vertical="center" wrapText="1" readingOrder="2"/>
    </xf>
    <xf numFmtId="0" fontId="18" fillId="14" borderId="18" xfId="0" applyFont="1" applyFill="1" applyBorder="1" applyAlignment="1">
      <alignment horizontal="center" vertical="center" wrapText="1" readingOrder="2"/>
    </xf>
    <xf numFmtId="0" fontId="18" fillId="14" borderId="0" xfId="0" applyFont="1" applyFill="1" applyAlignment="1">
      <alignment horizontal="center" vertical="center" wrapText="1" readingOrder="2"/>
    </xf>
    <xf numFmtId="0" fontId="18" fillId="14" borderId="19" xfId="0" applyFont="1" applyFill="1" applyBorder="1" applyAlignment="1">
      <alignment horizontal="center" vertical="center" wrapText="1" readingOrder="2"/>
    </xf>
    <xf numFmtId="0" fontId="18" fillId="12" borderId="44" xfId="0" applyFont="1" applyFill="1" applyBorder="1" applyAlignment="1">
      <alignment horizontal="center" vertical="center" wrapText="1" readingOrder="2"/>
    </xf>
    <xf numFmtId="0" fontId="18" fillId="12" borderId="43" xfId="0" applyFont="1" applyFill="1" applyBorder="1" applyAlignment="1">
      <alignment horizontal="center" vertical="center" wrapText="1" readingOrder="2"/>
    </xf>
    <xf numFmtId="0" fontId="12" fillId="8" borderId="15" xfId="0" applyFont="1" applyFill="1" applyBorder="1" applyAlignment="1">
      <alignment horizontal="right" vertical="top" wrapText="1" readingOrder="2"/>
    </xf>
    <xf numFmtId="0" fontId="12" fillId="8" borderId="16" xfId="0" applyFont="1" applyFill="1" applyBorder="1" applyAlignment="1">
      <alignment horizontal="right" vertical="top" wrapText="1" readingOrder="2"/>
    </xf>
    <xf numFmtId="0" fontId="12" fillId="8" borderId="17" xfId="0" applyFont="1" applyFill="1" applyBorder="1" applyAlignment="1">
      <alignment horizontal="right" vertical="top" wrapText="1" readingOrder="2"/>
    </xf>
    <xf numFmtId="0" fontId="12" fillId="8" borderId="18" xfId="0" applyFont="1" applyFill="1" applyBorder="1" applyAlignment="1">
      <alignment horizontal="right" vertical="center" wrapText="1" readingOrder="2"/>
    </xf>
    <xf numFmtId="0" fontId="12" fillId="8" borderId="0" xfId="0" applyFont="1" applyFill="1" applyAlignment="1">
      <alignment horizontal="right" vertical="center" wrapText="1" readingOrder="2"/>
    </xf>
    <xf numFmtId="0" fontId="12" fillId="8" borderId="19" xfId="0" applyFont="1" applyFill="1" applyBorder="1" applyAlignment="1">
      <alignment horizontal="right" vertical="center" wrapText="1" readingOrder="2"/>
    </xf>
    <xf numFmtId="0" fontId="12" fillId="8" borderId="18" xfId="0" applyFont="1" applyFill="1" applyBorder="1" applyAlignment="1">
      <alignment horizontal="right" vertical="top" wrapText="1" readingOrder="2"/>
    </xf>
    <xf numFmtId="0" fontId="12" fillId="8" borderId="0" xfId="0" applyFont="1" applyFill="1" applyAlignment="1">
      <alignment horizontal="right" vertical="top" wrapText="1" readingOrder="2"/>
    </xf>
    <xf numFmtId="0" fontId="12" fillId="8" borderId="19" xfId="0" applyFont="1" applyFill="1" applyBorder="1" applyAlignment="1">
      <alignment horizontal="right" vertical="top" wrapText="1" readingOrder="2"/>
    </xf>
    <xf numFmtId="0" fontId="17" fillId="9" borderId="29" xfId="0" applyFont="1" applyFill="1" applyBorder="1" applyAlignment="1">
      <alignment horizontal="center" vertical="center" wrapText="1" readingOrder="2"/>
    </xf>
    <xf numFmtId="0" fontId="17" fillId="9" borderId="30" xfId="0" applyFont="1" applyFill="1" applyBorder="1" applyAlignment="1">
      <alignment horizontal="center" vertical="center" wrapText="1" readingOrder="2"/>
    </xf>
    <xf numFmtId="0" fontId="17" fillId="9" borderId="31" xfId="0" applyFont="1" applyFill="1" applyBorder="1" applyAlignment="1">
      <alignment horizontal="center" vertical="center" wrapText="1" readingOrder="2"/>
    </xf>
    <xf numFmtId="0" fontId="7" fillId="3" borderId="0" xfId="0" applyFont="1" applyFill="1" applyAlignment="1">
      <alignment horizontal="left" vertical="center" wrapText="1" readingOrder="2"/>
    </xf>
    <xf numFmtId="0" fontId="2" fillId="3" borderId="1" xfId="0" applyFont="1" applyFill="1" applyBorder="1" applyAlignment="1" applyProtection="1">
      <alignment horizontal="right" vertical="center" wrapText="1" readingOrder="2"/>
      <protection locked="0"/>
    </xf>
    <xf numFmtId="0" fontId="2" fillId="3" borderId="2" xfId="0" applyFont="1" applyFill="1" applyBorder="1" applyAlignment="1" applyProtection="1">
      <alignment horizontal="right" vertical="center" wrapText="1" readingOrder="2"/>
      <protection locked="0"/>
    </xf>
    <xf numFmtId="0" fontId="2" fillId="3" borderId="3" xfId="0" applyFont="1" applyFill="1" applyBorder="1" applyAlignment="1" applyProtection="1">
      <alignment horizontal="right" vertical="center" wrapText="1" readingOrder="2"/>
      <protection locked="0"/>
    </xf>
    <xf numFmtId="0" fontId="8" fillId="3" borderId="1" xfId="0" applyFont="1" applyFill="1" applyBorder="1" applyAlignment="1" applyProtection="1">
      <alignment horizontal="right" vertical="center" wrapText="1" readingOrder="2"/>
      <protection locked="0"/>
    </xf>
    <xf numFmtId="0" fontId="8" fillId="3" borderId="2" xfId="0" applyFont="1" applyFill="1" applyBorder="1" applyAlignment="1" applyProtection="1">
      <alignment horizontal="right" vertical="center" wrapText="1" readingOrder="2"/>
      <protection locked="0"/>
    </xf>
    <xf numFmtId="0" fontId="8" fillId="3" borderId="3" xfId="0" applyFont="1" applyFill="1" applyBorder="1" applyAlignment="1" applyProtection="1">
      <alignment horizontal="right" vertical="center" wrapText="1" readingOrder="2"/>
      <protection locked="0"/>
    </xf>
    <xf numFmtId="9" fontId="9" fillId="6" borderId="11" xfId="1" applyFont="1" applyFill="1" applyBorder="1" applyAlignment="1">
      <alignment horizontal="center" vertical="center"/>
    </xf>
    <xf numFmtId="9" fontId="9" fillId="6" borderId="12" xfId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4"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0"/>
        </patternFill>
      </fill>
    </dxf>
  </dxfs>
  <tableStyles count="0" defaultTableStyle="TableStyleMedium2"/>
  <colors>
    <mruColors>
      <color rgb="FFEE5B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3507923</xdr:colOff>
      <xdr:row>0</xdr:row>
      <xdr:rowOff>47625</xdr:rowOff>
    </xdr:from>
    <xdr:to>
      <xdr:col>3</xdr:col>
      <xdr:colOff>2111829</xdr:colOff>
      <xdr:row>4</xdr:row>
      <xdr:rowOff>136491</xdr:rowOff>
    </xdr:to>
    <xdr:pic>
      <xdr:nvPicPr>
        <xdr:cNvPr id="13" name="Picture 12" descr="WLMS Portal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09695" y="47625"/>
          <a:ext cx="5186045" cy="17164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M982"/>
  <sheetViews>
    <sheetView showGridLines="0" rightToLeft="1" topLeftCell="A930" zoomScale="65" zoomScaleNormal="65" workbookViewId="0">
      <selection activeCell="D838" sqref="D838"/>
    </sheetView>
  </sheetViews>
  <sheetFormatPr defaultColWidth="8.85546875" defaultRowHeight="25.5"/>
  <cols>
    <col min="1" max="1" width="5.7109375" style="21" customWidth="1"/>
    <col min="2" max="2" width="80.7109375" style="22" customWidth="1"/>
    <col min="3" max="3" width="11.85546875" style="23" customWidth="1"/>
    <col min="4" max="4" width="54.140625" style="17" customWidth="1"/>
    <col min="5" max="6" width="8.85546875" style="24"/>
    <col min="7" max="7" width="8.85546875" style="24" hidden="1" customWidth="1"/>
    <col min="8" max="16384" width="8.85546875" style="24"/>
  </cols>
  <sheetData>
    <row r="1" spans="1:13">
      <c r="A1" s="112"/>
      <c r="B1" s="113"/>
      <c r="C1" s="113"/>
      <c r="D1" s="114"/>
    </row>
    <row r="2" spans="1:13">
      <c r="A2" s="115" t="s">
        <v>0</v>
      </c>
      <c r="B2" s="116"/>
      <c r="C2" s="116"/>
      <c r="D2" s="117"/>
    </row>
    <row r="3" spans="1:13" ht="31.15" customHeight="1">
      <c r="A3" s="115" t="s">
        <v>1</v>
      </c>
      <c r="B3" s="116"/>
      <c r="C3" s="116"/>
      <c r="D3" s="117"/>
    </row>
    <row r="4" spans="1:13" ht="48.6" customHeight="1">
      <c r="A4" s="118" t="s">
        <v>2</v>
      </c>
      <c r="B4" s="119"/>
      <c r="C4" s="119"/>
      <c r="D4" s="120"/>
    </row>
    <row r="5" spans="1:13" ht="24" customHeight="1">
      <c r="A5" s="75" t="s">
        <v>3</v>
      </c>
      <c r="B5" s="76"/>
      <c r="C5" s="76"/>
      <c r="D5" s="77"/>
    </row>
    <row r="6" spans="1:13" ht="15">
      <c r="A6" s="75"/>
      <c r="B6" s="76"/>
      <c r="C6" s="76"/>
      <c r="D6" s="77"/>
    </row>
    <row r="7" spans="1:13" ht="15">
      <c r="A7" s="75"/>
      <c r="B7" s="76"/>
      <c r="C7" s="76"/>
      <c r="D7" s="77"/>
    </row>
    <row r="8" spans="1:13" ht="15">
      <c r="A8" s="78"/>
      <c r="B8" s="79"/>
      <c r="C8" s="79"/>
      <c r="D8" s="80"/>
    </row>
    <row r="9" spans="1:13" ht="15" customHeight="1">
      <c r="A9" s="69" t="s">
        <v>4</v>
      </c>
      <c r="B9" s="71" t="s">
        <v>5</v>
      </c>
      <c r="C9" s="73" t="s">
        <v>6</v>
      </c>
      <c r="D9" s="71" t="s">
        <v>7</v>
      </c>
    </row>
    <row r="10" spans="1:13" ht="15" customHeight="1">
      <c r="A10" s="70"/>
      <c r="B10" s="72"/>
      <c r="C10" s="74"/>
      <c r="D10" s="72"/>
    </row>
    <row r="11" spans="1:13">
      <c r="A11" s="121" t="s">
        <v>8</v>
      </c>
      <c r="B11" s="122"/>
      <c r="C11" s="122"/>
      <c r="D11" s="123"/>
      <c r="M11"/>
    </row>
    <row r="12" spans="1:13" ht="26.25">
      <c r="A12" s="84" t="s">
        <v>9</v>
      </c>
      <c r="B12" s="85"/>
      <c r="C12" s="85"/>
      <c r="D12" s="86"/>
    </row>
    <row r="13" spans="1:13" ht="26.25">
      <c r="A13" s="25">
        <v>1</v>
      </c>
      <c r="B13" s="26" t="s">
        <v>10</v>
      </c>
      <c r="C13" s="27"/>
      <c r="D13" s="28"/>
    </row>
    <row r="14" spans="1:13" ht="26.25">
      <c r="A14" s="25">
        <v>2</v>
      </c>
      <c r="B14" s="26" t="s">
        <v>11</v>
      </c>
      <c r="C14" s="27"/>
      <c r="D14" s="28"/>
      <c r="G14"/>
    </row>
    <row r="15" spans="1:13" ht="93.75">
      <c r="A15" s="25">
        <v>3</v>
      </c>
      <c r="B15" s="26" t="s">
        <v>12</v>
      </c>
      <c r="C15" s="27"/>
      <c r="D15" s="28"/>
      <c r="E15"/>
      <c r="G15"/>
    </row>
    <row r="16" spans="1:13" ht="26.25">
      <c r="A16" s="25">
        <v>4</v>
      </c>
      <c r="B16" s="26" t="s">
        <v>13</v>
      </c>
      <c r="C16" s="27"/>
      <c r="D16" s="28"/>
    </row>
    <row r="17" spans="1:4" ht="26.25">
      <c r="A17" s="90" t="s">
        <v>14</v>
      </c>
      <c r="B17" s="91"/>
      <c r="C17" s="91"/>
      <c r="D17" s="92"/>
    </row>
    <row r="18" spans="1:4" ht="26.25">
      <c r="A18" s="25">
        <v>5</v>
      </c>
      <c r="B18" s="26" t="s">
        <v>15</v>
      </c>
      <c r="C18" s="27"/>
      <c r="D18" s="28"/>
    </row>
    <row r="19" spans="1:4" ht="26.25">
      <c r="A19" s="25">
        <v>6</v>
      </c>
      <c r="B19" s="26" t="s">
        <v>16</v>
      </c>
      <c r="C19" s="27"/>
      <c r="D19" s="28"/>
    </row>
    <row r="20" spans="1:4" ht="26.25">
      <c r="A20" s="25">
        <v>7</v>
      </c>
      <c r="B20" s="26" t="s">
        <v>17</v>
      </c>
      <c r="C20" s="27"/>
      <c r="D20" s="28"/>
    </row>
    <row r="21" spans="1:4" ht="26.25">
      <c r="A21" s="25">
        <v>8</v>
      </c>
      <c r="B21" s="26" t="s">
        <v>18</v>
      </c>
      <c r="C21" s="27"/>
      <c r="D21" s="28"/>
    </row>
    <row r="22" spans="1:4" ht="26.25">
      <c r="A22" s="25">
        <v>9</v>
      </c>
      <c r="B22" s="26" t="s">
        <v>19</v>
      </c>
      <c r="C22" s="27"/>
      <c r="D22" s="28"/>
    </row>
    <row r="23" spans="1:4" ht="26.25">
      <c r="A23" s="90" t="s">
        <v>20</v>
      </c>
      <c r="B23" s="91"/>
      <c r="C23" s="91"/>
      <c r="D23" s="92"/>
    </row>
    <row r="24" spans="1:4" ht="26.25">
      <c r="A24" s="25">
        <v>10</v>
      </c>
      <c r="B24" s="26" t="s">
        <v>21</v>
      </c>
      <c r="C24" s="27"/>
      <c r="D24" s="28"/>
    </row>
    <row r="25" spans="1:4" ht="26.25">
      <c r="A25" s="25">
        <v>11</v>
      </c>
      <c r="B25" s="26" t="s">
        <v>22</v>
      </c>
      <c r="C25" s="27"/>
      <c r="D25" s="28"/>
    </row>
    <row r="26" spans="1:4" ht="26.25">
      <c r="A26" s="25">
        <v>12</v>
      </c>
      <c r="B26" s="26" t="s">
        <v>23</v>
      </c>
      <c r="C26" s="27"/>
      <c r="D26" s="28"/>
    </row>
    <row r="27" spans="1:4" ht="26.25">
      <c r="A27" s="25">
        <v>13</v>
      </c>
      <c r="B27" s="26" t="s">
        <v>24</v>
      </c>
      <c r="C27" s="27"/>
      <c r="D27" s="28"/>
    </row>
    <row r="28" spans="1:4" ht="26.25">
      <c r="A28" s="25">
        <v>14</v>
      </c>
      <c r="B28" s="26" t="s">
        <v>25</v>
      </c>
      <c r="C28" s="27"/>
      <c r="D28" s="28"/>
    </row>
    <row r="29" spans="1:4" ht="93.75">
      <c r="A29" s="25">
        <v>15</v>
      </c>
      <c r="B29" s="26" t="s">
        <v>26</v>
      </c>
      <c r="C29" s="27"/>
      <c r="D29" s="28"/>
    </row>
    <row r="30" spans="1:4" ht="26.25">
      <c r="A30" s="25">
        <v>16</v>
      </c>
      <c r="B30" s="26" t="s">
        <v>27</v>
      </c>
      <c r="C30" s="27"/>
      <c r="D30" s="28"/>
    </row>
    <row r="31" spans="1:4" ht="26.25">
      <c r="A31" s="25">
        <v>17</v>
      </c>
      <c r="B31" s="26" t="s">
        <v>28</v>
      </c>
      <c r="C31" s="27"/>
      <c r="D31" s="28"/>
    </row>
    <row r="32" spans="1:4" ht="26.25">
      <c r="A32" s="90" t="s">
        <v>29</v>
      </c>
      <c r="B32" s="91"/>
      <c r="C32" s="91"/>
      <c r="D32" s="92"/>
    </row>
    <row r="33" spans="1:4" ht="26.25">
      <c r="A33" s="25">
        <v>18</v>
      </c>
      <c r="B33" s="26" t="s">
        <v>30</v>
      </c>
      <c r="C33" s="27"/>
      <c r="D33" s="28"/>
    </row>
    <row r="34" spans="1:4" ht="26.25">
      <c r="A34" s="25">
        <v>19</v>
      </c>
      <c r="B34" s="26" t="s">
        <v>31</v>
      </c>
      <c r="C34" s="27"/>
      <c r="D34" s="28"/>
    </row>
    <row r="35" spans="1:4" ht="26.25">
      <c r="A35" s="25">
        <v>20</v>
      </c>
      <c r="B35" s="26" t="s">
        <v>32</v>
      </c>
      <c r="C35" s="27"/>
      <c r="D35" s="28"/>
    </row>
    <row r="36" spans="1:4" ht="26.25">
      <c r="A36" s="25">
        <v>21</v>
      </c>
      <c r="B36" s="26" t="s">
        <v>33</v>
      </c>
      <c r="C36" s="27"/>
      <c r="D36" s="28"/>
    </row>
    <row r="37" spans="1:4" ht="26.25">
      <c r="A37" s="25">
        <v>22</v>
      </c>
      <c r="B37" s="26" t="s">
        <v>34</v>
      </c>
      <c r="C37" s="27"/>
      <c r="D37" s="28"/>
    </row>
    <row r="38" spans="1:4" ht="26.25">
      <c r="A38" s="25">
        <v>23</v>
      </c>
      <c r="B38" s="26" t="s">
        <v>35</v>
      </c>
      <c r="C38" s="27"/>
      <c r="D38" s="28"/>
    </row>
    <row r="39" spans="1:4" ht="26.25">
      <c r="A39" s="25">
        <v>24</v>
      </c>
      <c r="B39" s="26" t="s">
        <v>36</v>
      </c>
      <c r="C39" s="27"/>
      <c r="D39" s="28"/>
    </row>
    <row r="40" spans="1:4" ht="26.25">
      <c r="A40" s="25">
        <v>25</v>
      </c>
      <c r="B40" s="26" t="s">
        <v>37</v>
      </c>
      <c r="C40" s="27"/>
      <c r="D40" s="28"/>
    </row>
    <row r="41" spans="1:4" ht="26.25">
      <c r="A41" s="25">
        <v>26</v>
      </c>
      <c r="B41" s="26" t="s">
        <v>38</v>
      </c>
      <c r="C41" s="27"/>
      <c r="D41" s="28"/>
    </row>
    <row r="42" spans="1:4" ht="93.75">
      <c r="A42" s="25">
        <v>27</v>
      </c>
      <c r="B42" s="26" t="s">
        <v>39</v>
      </c>
      <c r="C42" s="27"/>
      <c r="D42" s="28"/>
    </row>
    <row r="43" spans="1:4" ht="75">
      <c r="A43" s="25">
        <v>28</v>
      </c>
      <c r="B43" s="26" t="s">
        <v>40</v>
      </c>
      <c r="C43" s="27"/>
      <c r="D43" s="28"/>
    </row>
    <row r="44" spans="1:4" ht="93.75">
      <c r="A44" s="25">
        <v>29</v>
      </c>
      <c r="B44" s="26" t="s">
        <v>41</v>
      </c>
      <c r="C44" s="27"/>
      <c r="D44" s="28"/>
    </row>
    <row r="45" spans="1:4" ht="37.5">
      <c r="A45" s="25">
        <v>30</v>
      </c>
      <c r="B45" s="26" t="s">
        <v>42</v>
      </c>
      <c r="C45" s="27"/>
      <c r="D45" s="28"/>
    </row>
    <row r="46" spans="1:4" ht="26.25">
      <c r="A46" s="25">
        <v>31</v>
      </c>
      <c r="B46" s="26" t="s">
        <v>43</v>
      </c>
      <c r="C46" s="27"/>
      <c r="D46" s="28"/>
    </row>
    <row r="47" spans="1:4" ht="26.25">
      <c r="A47" s="25">
        <v>32</v>
      </c>
      <c r="B47" s="26" t="s">
        <v>44</v>
      </c>
      <c r="C47" s="27"/>
      <c r="D47" s="28"/>
    </row>
    <row r="48" spans="1:4" ht="26.25">
      <c r="A48" s="25">
        <v>33</v>
      </c>
      <c r="B48" s="26" t="s">
        <v>45</v>
      </c>
      <c r="C48" s="27"/>
      <c r="D48" s="28"/>
    </row>
    <row r="49" spans="1:4" ht="112.5">
      <c r="A49" s="25">
        <v>34</v>
      </c>
      <c r="B49" s="26" t="s">
        <v>46</v>
      </c>
      <c r="C49" s="27"/>
      <c r="D49" s="28"/>
    </row>
    <row r="50" spans="1:4" ht="26.25">
      <c r="A50" s="90" t="s">
        <v>47</v>
      </c>
      <c r="B50" s="91"/>
      <c r="C50" s="91"/>
      <c r="D50" s="92"/>
    </row>
    <row r="51" spans="1:4" ht="26.25">
      <c r="A51" s="25">
        <v>35</v>
      </c>
      <c r="B51" s="26" t="s">
        <v>48</v>
      </c>
      <c r="C51" s="27"/>
      <c r="D51" s="28"/>
    </row>
    <row r="52" spans="1:4" ht="26.25">
      <c r="A52" s="25">
        <v>36</v>
      </c>
      <c r="B52" s="26" t="s">
        <v>49</v>
      </c>
      <c r="C52" s="27"/>
      <c r="D52" s="28"/>
    </row>
    <row r="53" spans="1:4" ht="26.25">
      <c r="A53" s="25">
        <v>37</v>
      </c>
      <c r="B53" s="26" t="s">
        <v>51</v>
      </c>
      <c r="C53" s="27"/>
      <c r="D53" s="28"/>
    </row>
    <row r="54" spans="1:4" ht="26.25">
      <c r="A54" s="25">
        <v>38</v>
      </c>
      <c r="B54" s="26" t="s">
        <v>52</v>
      </c>
      <c r="C54" s="27"/>
      <c r="D54" s="28"/>
    </row>
    <row r="55" spans="1:4" ht="26.25">
      <c r="A55" s="25">
        <v>39</v>
      </c>
      <c r="B55" s="26" t="s">
        <v>53</v>
      </c>
      <c r="C55" s="27"/>
      <c r="D55" s="28"/>
    </row>
    <row r="56" spans="1:4" ht="26.25">
      <c r="A56" s="25">
        <v>40</v>
      </c>
      <c r="B56" s="26" t="s">
        <v>54</v>
      </c>
      <c r="C56" s="27"/>
      <c r="D56" s="28"/>
    </row>
    <row r="57" spans="1:4" ht="26.25">
      <c r="A57" s="25">
        <v>41</v>
      </c>
      <c r="B57" s="26" t="s">
        <v>55</v>
      </c>
      <c r="C57" s="27"/>
      <c r="D57" s="28"/>
    </row>
    <row r="58" spans="1:4" ht="26.25">
      <c r="A58" s="90" t="s">
        <v>56</v>
      </c>
      <c r="B58" s="91"/>
      <c r="C58" s="91"/>
      <c r="D58" s="92"/>
    </row>
    <row r="59" spans="1:4" ht="26.25">
      <c r="A59" s="25">
        <v>42</v>
      </c>
      <c r="B59" s="26" t="s">
        <v>57</v>
      </c>
      <c r="C59" s="27"/>
      <c r="D59" s="28"/>
    </row>
    <row r="60" spans="1:4" ht="26.25">
      <c r="A60" s="25">
        <v>43</v>
      </c>
      <c r="B60" s="26" t="s">
        <v>58</v>
      </c>
      <c r="C60" s="27"/>
      <c r="D60" s="28"/>
    </row>
    <row r="61" spans="1:4" ht="26.25">
      <c r="A61" s="25">
        <v>44</v>
      </c>
      <c r="B61" s="26" t="s">
        <v>59</v>
      </c>
      <c r="C61" s="27"/>
      <c r="D61" s="28"/>
    </row>
    <row r="62" spans="1:4" ht="26.25">
      <c r="A62" s="25">
        <v>45</v>
      </c>
      <c r="B62" s="26" t="s">
        <v>60</v>
      </c>
      <c r="C62" s="27"/>
      <c r="D62" s="28"/>
    </row>
    <row r="63" spans="1:4" ht="26.25">
      <c r="A63" s="25">
        <v>46</v>
      </c>
      <c r="B63" s="26" t="s">
        <v>61</v>
      </c>
      <c r="C63" s="27"/>
      <c r="D63" s="28"/>
    </row>
    <row r="64" spans="1:4" ht="26.25">
      <c r="A64" s="90" t="s">
        <v>62</v>
      </c>
      <c r="B64" s="91"/>
      <c r="C64" s="91"/>
      <c r="D64" s="92"/>
    </row>
    <row r="65" spans="1:4" ht="26.25">
      <c r="A65" s="25">
        <v>47</v>
      </c>
      <c r="B65" s="26" t="s">
        <v>63</v>
      </c>
      <c r="C65" s="27"/>
      <c r="D65" s="28"/>
    </row>
    <row r="66" spans="1:4" ht="26.25">
      <c r="A66" s="25">
        <v>48</v>
      </c>
      <c r="B66" s="26" t="s">
        <v>64</v>
      </c>
      <c r="C66" s="27"/>
      <c r="D66" s="28"/>
    </row>
    <row r="67" spans="1:4" ht="26.25">
      <c r="A67" s="25">
        <v>49</v>
      </c>
      <c r="B67" s="26" t="s">
        <v>65</v>
      </c>
      <c r="C67" s="27"/>
      <c r="D67" s="28"/>
    </row>
    <row r="68" spans="1:4" ht="26.25">
      <c r="A68" s="25">
        <v>50</v>
      </c>
      <c r="B68" s="26" t="s">
        <v>66</v>
      </c>
      <c r="C68" s="27"/>
      <c r="D68" s="28"/>
    </row>
    <row r="69" spans="1:4" ht="26.25">
      <c r="A69" s="25">
        <v>51</v>
      </c>
      <c r="B69" s="26" t="s">
        <v>67</v>
      </c>
      <c r="C69" s="27"/>
      <c r="D69" s="28"/>
    </row>
    <row r="70" spans="1:4" ht="26.25">
      <c r="A70" s="25">
        <v>52</v>
      </c>
      <c r="B70" s="26" t="s">
        <v>68</v>
      </c>
      <c r="C70" s="27"/>
      <c r="D70" s="28"/>
    </row>
    <row r="71" spans="1:4" ht="26.25">
      <c r="A71" s="25">
        <v>53</v>
      </c>
      <c r="B71" s="26" t="s">
        <v>69</v>
      </c>
      <c r="C71" s="27"/>
      <c r="D71" s="28"/>
    </row>
    <row r="72" spans="1:4" ht="26.25">
      <c r="A72" s="25">
        <v>54</v>
      </c>
      <c r="B72" s="26" t="s">
        <v>70</v>
      </c>
      <c r="C72" s="27"/>
      <c r="D72" s="28"/>
    </row>
    <row r="73" spans="1:4" ht="26.25">
      <c r="A73" s="25">
        <v>55</v>
      </c>
      <c r="B73" s="26" t="s">
        <v>71</v>
      </c>
      <c r="C73" s="27"/>
      <c r="D73" s="28"/>
    </row>
    <row r="74" spans="1:4" ht="26.25">
      <c r="A74" s="102" t="s">
        <v>72</v>
      </c>
      <c r="B74" s="103"/>
      <c r="C74" s="103"/>
      <c r="D74" s="29" t="str">
        <f>IF(COUNT(C13:C73)=0,"N/A",SUM((C13:C73))/(COUNT((C13:C73))*2))</f>
        <v>N/A</v>
      </c>
    </row>
    <row r="75" spans="1:4" ht="26.25">
      <c r="A75" s="90" t="s">
        <v>73</v>
      </c>
      <c r="B75" s="91"/>
      <c r="C75" s="91"/>
      <c r="D75" s="92"/>
    </row>
    <row r="76" spans="1:4" ht="93.75">
      <c r="A76" s="25">
        <v>1</v>
      </c>
      <c r="B76" s="26" t="s">
        <v>74</v>
      </c>
      <c r="C76" s="27"/>
      <c r="D76" s="28"/>
    </row>
    <row r="77" spans="1:4" ht="75">
      <c r="A77" s="25">
        <v>2</v>
      </c>
      <c r="B77" s="26" t="s">
        <v>75</v>
      </c>
      <c r="C77" s="27"/>
      <c r="D77" s="28"/>
    </row>
    <row r="78" spans="1:4" ht="93.75">
      <c r="A78" s="25">
        <v>3</v>
      </c>
      <c r="B78" s="26" t="s">
        <v>76</v>
      </c>
      <c r="C78" s="27"/>
      <c r="D78" s="28"/>
    </row>
    <row r="79" spans="1:4" ht="26.25">
      <c r="A79" s="25">
        <v>4</v>
      </c>
      <c r="B79" s="30" t="s">
        <v>77</v>
      </c>
      <c r="C79" s="27"/>
      <c r="D79" s="31"/>
    </row>
    <row r="80" spans="1:4" ht="26.25">
      <c r="A80" s="102" t="s">
        <v>72</v>
      </c>
      <c r="B80" s="103"/>
      <c r="C80" s="111"/>
      <c r="D80" s="29" t="str">
        <f>IF(COUNT(C76:C79)=0,"N/A",SUM((C76:C79))/(COUNT((C76:C79))*2))</f>
        <v>N/A</v>
      </c>
    </row>
    <row r="81" spans="1:4" ht="26.25">
      <c r="A81" s="90" t="s">
        <v>78</v>
      </c>
      <c r="B81" s="91"/>
      <c r="C81" s="91"/>
      <c r="D81" s="92"/>
    </row>
    <row r="82" spans="1:4" ht="26.25">
      <c r="A82" s="25">
        <v>1</v>
      </c>
      <c r="B82" s="26" t="s">
        <v>79</v>
      </c>
      <c r="C82" s="27"/>
      <c r="D82" s="28"/>
    </row>
    <row r="83" spans="1:4" ht="26.25">
      <c r="A83" s="25">
        <v>2</v>
      </c>
      <c r="B83" s="26" t="s">
        <v>80</v>
      </c>
      <c r="C83" s="27"/>
      <c r="D83" s="28"/>
    </row>
    <row r="84" spans="1:4" ht="26.25">
      <c r="A84" s="25">
        <v>3</v>
      </c>
      <c r="B84" s="26" t="s">
        <v>81</v>
      </c>
      <c r="C84" s="27"/>
      <c r="D84" s="28"/>
    </row>
    <row r="85" spans="1:4" ht="26.25">
      <c r="A85" s="25">
        <v>4</v>
      </c>
      <c r="B85" s="26" t="s">
        <v>82</v>
      </c>
      <c r="C85" s="27"/>
      <c r="D85" s="28"/>
    </row>
    <row r="86" spans="1:4" ht="26.25">
      <c r="A86" s="25">
        <v>5</v>
      </c>
      <c r="B86" s="26" t="s">
        <v>83</v>
      </c>
      <c r="C86" s="27"/>
      <c r="D86" s="28"/>
    </row>
    <row r="87" spans="1:4" ht="26.25">
      <c r="A87" s="102" t="s">
        <v>72</v>
      </c>
      <c r="B87" s="103"/>
      <c r="C87" s="111"/>
      <c r="D87" s="29" t="str">
        <f>IF(COUNT(C82:C86)=0,"N/A",SUM((C82:C86))/(COUNT((C82:C86))*2))</f>
        <v>N/A</v>
      </c>
    </row>
    <row r="88" spans="1:4" ht="26.25">
      <c r="A88" s="90" t="s">
        <v>84</v>
      </c>
      <c r="B88" s="91"/>
      <c r="C88" s="91"/>
      <c r="D88" s="92"/>
    </row>
    <row r="89" spans="1:4" ht="150">
      <c r="A89" s="25">
        <v>1</v>
      </c>
      <c r="B89" s="26" t="s">
        <v>85</v>
      </c>
      <c r="C89" s="27"/>
      <c r="D89" s="28"/>
    </row>
    <row r="90" spans="1:4" ht="26.25">
      <c r="A90" s="25">
        <v>2</v>
      </c>
      <c r="B90" s="26" t="s">
        <v>86</v>
      </c>
      <c r="C90" s="27"/>
      <c r="D90" s="28"/>
    </row>
    <row r="91" spans="1:4" ht="56.25">
      <c r="A91" s="25">
        <v>3</v>
      </c>
      <c r="B91" s="26" t="s">
        <v>87</v>
      </c>
      <c r="C91" s="27"/>
      <c r="D91" s="28"/>
    </row>
    <row r="92" spans="1:4" ht="26.25">
      <c r="A92" s="102" t="s">
        <v>72</v>
      </c>
      <c r="B92" s="103"/>
      <c r="C92" s="110"/>
      <c r="D92" s="29" t="str">
        <f>IF(COUNT(C89:C91)=0,"N/A",SUM((C89:C91))/(COUNT((C89:C91))*2))</f>
        <v>N/A</v>
      </c>
    </row>
    <row r="93" spans="1:4" ht="26.25">
      <c r="A93" s="90" t="s">
        <v>88</v>
      </c>
      <c r="B93" s="91"/>
      <c r="C93" s="91"/>
      <c r="D93" s="92"/>
    </row>
    <row r="94" spans="1:4" ht="26.25">
      <c r="A94" s="63" t="s">
        <v>89</v>
      </c>
      <c r="B94" s="64"/>
      <c r="C94" s="64"/>
      <c r="D94" s="65"/>
    </row>
    <row r="95" spans="1:4" ht="26.25">
      <c r="A95" s="25">
        <v>1</v>
      </c>
      <c r="B95" s="26" t="s">
        <v>90</v>
      </c>
      <c r="C95" s="27"/>
      <c r="D95" s="28"/>
    </row>
    <row r="96" spans="1:4" ht="26.25">
      <c r="A96" s="25">
        <v>2</v>
      </c>
      <c r="B96" s="26" t="s">
        <v>91</v>
      </c>
      <c r="C96" s="27"/>
      <c r="D96" s="28"/>
    </row>
    <row r="97" spans="1:4" ht="26.25">
      <c r="A97" s="25">
        <v>3</v>
      </c>
      <c r="B97" s="26" t="s">
        <v>92</v>
      </c>
      <c r="C97" s="27"/>
      <c r="D97" s="28"/>
    </row>
    <row r="98" spans="1:4" ht="37.5">
      <c r="A98" s="25">
        <v>4</v>
      </c>
      <c r="B98" s="26" t="s">
        <v>93</v>
      </c>
      <c r="C98" s="27"/>
      <c r="D98" s="28"/>
    </row>
    <row r="99" spans="1:4" ht="26.25">
      <c r="A99" s="25">
        <v>5</v>
      </c>
      <c r="B99" s="26" t="s">
        <v>94</v>
      </c>
      <c r="C99" s="27"/>
      <c r="D99" s="28"/>
    </row>
    <row r="100" spans="1:4" ht="26.25">
      <c r="A100" s="25">
        <v>6</v>
      </c>
      <c r="B100" s="26" t="s">
        <v>95</v>
      </c>
      <c r="C100" s="27"/>
      <c r="D100" s="28"/>
    </row>
    <row r="101" spans="1:4" ht="37.5">
      <c r="A101" s="25">
        <v>7</v>
      </c>
      <c r="B101" s="26" t="s">
        <v>96</v>
      </c>
      <c r="C101" s="27"/>
      <c r="D101" s="28"/>
    </row>
    <row r="102" spans="1:4" ht="337.5">
      <c r="A102" s="25">
        <v>8</v>
      </c>
      <c r="B102" s="26" t="s">
        <v>97</v>
      </c>
      <c r="C102" s="27"/>
      <c r="D102" s="28"/>
    </row>
    <row r="103" spans="1:4" ht="26.25">
      <c r="A103" s="81" t="s">
        <v>72</v>
      </c>
      <c r="B103" s="82"/>
      <c r="C103" s="82"/>
      <c r="D103" s="32" t="str">
        <f>IF(COUNT(C95:C102)=0,"N/A",SUM((C95:C102))/(COUNT((C95:C102))*2))</f>
        <v>N/A</v>
      </c>
    </row>
    <row r="104" spans="1:4" ht="26.25">
      <c r="A104" s="99" t="s">
        <v>98</v>
      </c>
      <c r="B104" s="100"/>
      <c r="C104" s="100"/>
      <c r="D104" s="101"/>
    </row>
    <row r="105" spans="1:4" ht="56.25">
      <c r="A105" s="25">
        <v>1</v>
      </c>
      <c r="B105" s="26" t="s">
        <v>99</v>
      </c>
      <c r="C105" s="27"/>
      <c r="D105" s="28"/>
    </row>
    <row r="106" spans="1:4" ht="26.25">
      <c r="A106" s="25">
        <v>2</v>
      </c>
      <c r="B106" s="26" t="s">
        <v>100</v>
      </c>
      <c r="C106" s="27"/>
      <c r="D106" s="28"/>
    </row>
    <row r="107" spans="1:4" ht="26.25">
      <c r="A107" s="81" t="s">
        <v>72</v>
      </c>
      <c r="B107" s="82"/>
      <c r="C107" s="82"/>
      <c r="D107" s="29" t="str">
        <f>IF(COUNT(C105:C106)=0,"N/A",SUM((C105:C106))/(COUNT((C105:C106))*2))</f>
        <v>N/A</v>
      </c>
    </row>
    <row r="108" spans="1:4" ht="26.25">
      <c r="A108" s="99" t="s">
        <v>101</v>
      </c>
      <c r="B108" s="100"/>
      <c r="C108" s="100"/>
      <c r="D108" s="101"/>
    </row>
    <row r="109" spans="1:4" ht="168.75">
      <c r="A109" s="25">
        <v>1</v>
      </c>
      <c r="B109" s="26" t="s">
        <v>102</v>
      </c>
      <c r="C109" s="27"/>
      <c r="D109" s="28"/>
    </row>
    <row r="110" spans="1:4" ht="26.25">
      <c r="A110" s="25">
        <v>2</v>
      </c>
      <c r="B110" s="26" t="s">
        <v>103</v>
      </c>
      <c r="C110" s="27"/>
      <c r="D110" s="28"/>
    </row>
    <row r="111" spans="1:4" ht="26.25">
      <c r="A111" s="81" t="s">
        <v>72</v>
      </c>
      <c r="B111" s="82"/>
      <c r="C111" s="82"/>
      <c r="D111" s="29" t="str">
        <f>IF(COUNT(C109:C110)=0,"N/A",SUM((C109:C110))/(COUNT((C109:C110))*2))</f>
        <v>N/A</v>
      </c>
    </row>
    <row r="112" spans="1:4" ht="26.25">
      <c r="A112" s="84" t="s">
        <v>104</v>
      </c>
      <c r="B112" s="85"/>
      <c r="C112" s="85"/>
      <c r="D112" s="86"/>
    </row>
    <row r="113" spans="1:4" ht="26.25">
      <c r="A113" s="63" t="s">
        <v>105</v>
      </c>
      <c r="B113" s="64"/>
      <c r="C113" s="64"/>
      <c r="D113" s="65"/>
    </row>
    <row r="114" spans="1:4" ht="26.25">
      <c r="A114" s="25">
        <v>1</v>
      </c>
      <c r="B114" s="26" t="s">
        <v>106</v>
      </c>
      <c r="C114" s="27"/>
      <c r="D114" s="28"/>
    </row>
    <row r="115" spans="1:4" ht="26.25">
      <c r="A115" s="25">
        <v>2</v>
      </c>
      <c r="B115" s="26" t="s">
        <v>107</v>
      </c>
      <c r="C115" s="27"/>
      <c r="D115" s="28"/>
    </row>
    <row r="116" spans="1:4" ht="37.5">
      <c r="A116" s="25">
        <v>3</v>
      </c>
      <c r="B116" s="26" t="s">
        <v>108</v>
      </c>
      <c r="C116" s="27"/>
      <c r="D116" s="28"/>
    </row>
    <row r="117" spans="1:4" ht="37.5">
      <c r="A117" s="25">
        <v>4</v>
      </c>
      <c r="B117" s="26" t="s">
        <v>109</v>
      </c>
      <c r="C117" s="27"/>
      <c r="D117" s="28"/>
    </row>
    <row r="118" spans="1:4" ht="26.25">
      <c r="A118" s="25">
        <v>5</v>
      </c>
      <c r="B118" s="26" t="s">
        <v>110</v>
      </c>
      <c r="C118" s="27"/>
      <c r="D118" s="28"/>
    </row>
    <row r="119" spans="1:4" ht="26.25">
      <c r="A119" s="25">
        <v>6</v>
      </c>
      <c r="B119" s="26" t="s">
        <v>111</v>
      </c>
      <c r="C119" s="27"/>
      <c r="D119" s="28"/>
    </row>
    <row r="120" spans="1:4" ht="26.25">
      <c r="A120" s="25">
        <v>7</v>
      </c>
      <c r="B120" s="26" t="s">
        <v>112</v>
      </c>
      <c r="C120" s="27"/>
      <c r="D120" s="28"/>
    </row>
    <row r="121" spans="1:4" ht="26.25">
      <c r="A121" s="25">
        <v>8</v>
      </c>
      <c r="B121" s="26" t="s">
        <v>113</v>
      </c>
      <c r="C121" s="27"/>
      <c r="D121" s="28"/>
    </row>
    <row r="122" spans="1:4" ht="26.25">
      <c r="A122" s="25">
        <v>9</v>
      </c>
      <c r="B122" s="26" t="s">
        <v>114</v>
      </c>
      <c r="C122" s="27"/>
      <c r="D122" s="28"/>
    </row>
    <row r="123" spans="1:4" ht="26.25">
      <c r="A123" s="25">
        <v>10</v>
      </c>
      <c r="B123" s="26" t="s">
        <v>115</v>
      </c>
      <c r="C123" s="27"/>
      <c r="D123" s="28"/>
    </row>
    <row r="124" spans="1:4" ht="26.25">
      <c r="A124" s="25">
        <v>11</v>
      </c>
      <c r="B124" s="26" t="s">
        <v>116</v>
      </c>
      <c r="C124" s="27"/>
      <c r="D124" s="28"/>
    </row>
    <row r="125" spans="1:4" ht="26.25">
      <c r="A125" s="25">
        <v>12</v>
      </c>
      <c r="B125" s="26" t="s">
        <v>117</v>
      </c>
      <c r="C125" s="27"/>
      <c r="D125" s="28"/>
    </row>
    <row r="126" spans="1:4" ht="26.25">
      <c r="A126" s="25">
        <v>13</v>
      </c>
      <c r="B126" s="26" t="s">
        <v>118</v>
      </c>
      <c r="C126" s="27"/>
      <c r="D126" s="28"/>
    </row>
    <row r="127" spans="1:4" ht="26.25">
      <c r="A127" s="25">
        <v>14</v>
      </c>
      <c r="B127" s="26" t="s">
        <v>119</v>
      </c>
      <c r="C127" s="27"/>
      <c r="D127" s="28"/>
    </row>
    <row r="128" spans="1:4" ht="26.25">
      <c r="A128" s="63" t="s">
        <v>120</v>
      </c>
      <c r="B128" s="64"/>
      <c r="C128" s="64"/>
      <c r="D128" s="65"/>
    </row>
    <row r="129" spans="1:4" ht="26.25">
      <c r="A129" s="25">
        <v>15</v>
      </c>
      <c r="B129" s="33" t="s">
        <v>121</v>
      </c>
      <c r="C129" s="27"/>
      <c r="D129" s="34"/>
    </row>
    <row r="130" spans="1:4" ht="26.25">
      <c r="A130" s="25">
        <v>16</v>
      </c>
      <c r="B130" s="26" t="s">
        <v>122</v>
      </c>
      <c r="C130" s="27"/>
      <c r="D130" s="28"/>
    </row>
    <row r="131" spans="1:4" ht="26.25">
      <c r="A131" s="25">
        <v>17</v>
      </c>
      <c r="B131" s="33" t="s">
        <v>123</v>
      </c>
      <c r="C131" s="27"/>
      <c r="D131" s="34"/>
    </row>
    <row r="132" spans="1:4" ht="26.25">
      <c r="A132" s="25">
        <v>18</v>
      </c>
      <c r="B132" s="33" t="s">
        <v>124</v>
      </c>
      <c r="C132" s="27"/>
      <c r="D132" s="34"/>
    </row>
    <row r="133" spans="1:4" ht="26.25">
      <c r="A133" s="25">
        <v>19</v>
      </c>
      <c r="B133" s="33" t="s">
        <v>125</v>
      </c>
      <c r="C133" s="27"/>
      <c r="D133" s="34"/>
    </row>
    <row r="134" spans="1:4" ht="26.25">
      <c r="A134" s="25">
        <v>20</v>
      </c>
      <c r="B134" s="33" t="s">
        <v>126</v>
      </c>
      <c r="C134" s="27"/>
      <c r="D134" s="34"/>
    </row>
    <row r="135" spans="1:4" ht="26.25">
      <c r="A135" s="25">
        <v>21</v>
      </c>
      <c r="B135" s="33" t="s">
        <v>127</v>
      </c>
      <c r="C135" s="27"/>
      <c r="D135" s="34"/>
    </row>
    <row r="136" spans="1:4" ht="26.25">
      <c r="A136" s="25">
        <v>22</v>
      </c>
      <c r="B136" s="33" t="s">
        <v>128</v>
      </c>
      <c r="C136" s="27"/>
      <c r="D136" s="34"/>
    </row>
    <row r="137" spans="1:4" ht="26.25">
      <c r="A137" s="25">
        <v>23</v>
      </c>
      <c r="B137" s="33" t="s">
        <v>129</v>
      </c>
      <c r="C137" s="27"/>
      <c r="D137" s="34"/>
    </row>
    <row r="138" spans="1:4" ht="26.25">
      <c r="A138" s="25">
        <v>24</v>
      </c>
      <c r="B138" s="33" t="s">
        <v>130</v>
      </c>
      <c r="C138" s="27"/>
      <c r="D138" s="34"/>
    </row>
    <row r="139" spans="1:4" ht="26.25">
      <c r="A139" s="25">
        <v>25</v>
      </c>
      <c r="B139" s="33" t="s">
        <v>131</v>
      </c>
      <c r="C139" s="27"/>
      <c r="D139" s="34"/>
    </row>
    <row r="140" spans="1:4" ht="26.25">
      <c r="A140" s="63" t="s">
        <v>132</v>
      </c>
      <c r="B140" s="64"/>
      <c r="C140" s="64"/>
      <c r="D140" s="65"/>
    </row>
    <row r="141" spans="1:4" ht="26.25">
      <c r="A141" s="25">
        <v>26</v>
      </c>
      <c r="B141" s="35" t="s">
        <v>133</v>
      </c>
      <c r="C141" s="27"/>
      <c r="D141" s="36"/>
    </row>
    <row r="142" spans="1:4" ht="26.25">
      <c r="A142" s="25">
        <v>27</v>
      </c>
      <c r="B142" s="35" t="s">
        <v>134</v>
      </c>
      <c r="C142" s="27"/>
      <c r="D142" s="36"/>
    </row>
    <row r="143" spans="1:4" ht="26.25">
      <c r="A143" s="25">
        <v>28</v>
      </c>
      <c r="B143" s="35" t="s">
        <v>135</v>
      </c>
      <c r="C143" s="27"/>
      <c r="D143" s="36"/>
    </row>
    <row r="144" spans="1:4" ht="26.25">
      <c r="A144" s="25">
        <v>29</v>
      </c>
      <c r="B144" s="35" t="s">
        <v>136</v>
      </c>
      <c r="C144" s="27"/>
      <c r="D144" s="36"/>
    </row>
    <row r="145" spans="1:4" ht="26.25">
      <c r="A145" s="25">
        <v>30</v>
      </c>
      <c r="B145" s="35" t="s">
        <v>137</v>
      </c>
      <c r="C145" s="27"/>
      <c r="D145" s="36"/>
    </row>
    <row r="146" spans="1:4" ht="37.5">
      <c r="A146" s="25">
        <v>31</v>
      </c>
      <c r="B146" s="35" t="s">
        <v>138</v>
      </c>
      <c r="C146" s="27"/>
      <c r="D146" s="36"/>
    </row>
    <row r="147" spans="1:4" ht="56.25">
      <c r="A147" s="25">
        <v>32</v>
      </c>
      <c r="B147" s="35" t="s">
        <v>139</v>
      </c>
      <c r="C147" s="27"/>
      <c r="D147" s="36"/>
    </row>
    <row r="148" spans="1:4" ht="26.25">
      <c r="A148" s="25">
        <v>33</v>
      </c>
      <c r="B148" s="35" t="s">
        <v>140</v>
      </c>
      <c r="C148" s="27"/>
      <c r="D148" s="36"/>
    </row>
    <row r="149" spans="1:4" ht="37.5">
      <c r="A149" s="25">
        <v>34</v>
      </c>
      <c r="B149" s="35" t="s">
        <v>141</v>
      </c>
      <c r="C149" s="27"/>
      <c r="D149" s="36"/>
    </row>
    <row r="150" spans="1:4" ht="26.25">
      <c r="A150" s="25">
        <v>35</v>
      </c>
      <c r="B150" s="35" t="s">
        <v>142</v>
      </c>
      <c r="C150" s="27"/>
      <c r="D150" s="36"/>
    </row>
    <row r="151" spans="1:4" ht="26.25">
      <c r="A151" s="25">
        <v>36</v>
      </c>
      <c r="B151" s="35" t="s">
        <v>143</v>
      </c>
      <c r="C151" s="27"/>
      <c r="D151" s="36"/>
    </row>
    <row r="152" spans="1:4" ht="26.25">
      <c r="A152" s="63" t="s">
        <v>144</v>
      </c>
      <c r="B152" s="64"/>
      <c r="C152" s="64"/>
      <c r="D152" s="65"/>
    </row>
    <row r="153" spans="1:4" ht="168.75">
      <c r="A153" s="25">
        <v>37</v>
      </c>
      <c r="B153" s="37" t="s">
        <v>145</v>
      </c>
      <c r="C153" s="27"/>
      <c r="D153" s="38"/>
    </row>
    <row r="154" spans="1:4" ht="26.25">
      <c r="A154" s="81" t="s">
        <v>72</v>
      </c>
      <c r="B154" s="82"/>
      <c r="C154" s="82"/>
      <c r="D154" s="29" t="str">
        <f>IF(COUNT(C114:C153)=0,"N/A",SUM((C114:C153))/(COUNT((C114:C153))*2))</f>
        <v>N/A</v>
      </c>
    </row>
    <row r="155" spans="1:4" ht="26.25">
      <c r="A155" s="84" t="s">
        <v>146</v>
      </c>
      <c r="B155" s="85"/>
      <c r="C155" s="85"/>
      <c r="D155" s="86"/>
    </row>
    <row r="156" spans="1:4" ht="26.25">
      <c r="A156" s="63" t="s">
        <v>147</v>
      </c>
      <c r="B156" s="64"/>
      <c r="C156" s="64"/>
      <c r="D156" s="65"/>
    </row>
    <row r="157" spans="1:4" ht="26.25">
      <c r="A157" s="25">
        <v>1</v>
      </c>
      <c r="B157" s="39" t="s">
        <v>148</v>
      </c>
      <c r="C157" s="27"/>
      <c r="D157" s="40"/>
    </row>
    <row r="158" spans="1:4" ht="26.25">
      <c r="A158" s="25">
        <v>2</v>
      </c>
      <c r="B158" s="39" t="s">
        <v>149</v>
      </c>
      <c r="C158" s="27"/>
      <c r="D158" s="40"/>
    </row>
    <row r="159" spans="1:4" ht="26.25">
      <c r="A159" s="25">
        <v>3</v>
      </c>
      <c r="B159" s="35" t="s">
        <v>150</v>
      </c>
      <c r="C159" s="27"/>
      <c r="D159" s="36"/>
    </row>
    <row r="160" spans="1:4" ht="26.25">
      <c r="A160" s="25">
        <v>4</v>
      </c>
      <c r="B160" s="35" t="s">
        <v>151</v>
      </c>
      <c r="C160" s="27"/>
      <c r="D160" s="36"/>
    </row>
    <row r="161" spans="1:4" ht="26.25">
      <c r="A161" s="25">
        <v>5</v>
      </c>
      <c r="B161" s="39" t="s">
        <v>152</v>
      </c>
      <c r="C161" s="27"/>
      <c r="D161" s="40"/>
    </row>
    <row r="162" spans="1:4" ht="26.25">
      <c r="A162" s="25">
        <v>6</v>
      </c>
      <c r="B162" s="39" t="s">
        <v>153</v>
      </c>
      <c r="C162" s="27"/>
      <c r="D162" s="41"/>
    </row>
    <row r="163" spans="1:4" ht="26.25">
      <c r="A163" s="25">
        <v>7</v>
      </c>
      <c r="B163" s="39" t="s">
        <v>154</v>
      </c>
      <c r="C163" s="27"/>
      <c r="D163" s="40"/>
    </row>
    <row r="164" spans="1:4" ht="37.5">
      <c r="A164" s="25">
        <v>8</v>
      </c>
      <c r="B164" s="35" t="s">
        <v>155</v>
      </c>
      <c r="C164" s="27"/>
      <c r="D164" s="36"/>
    </row>
    <row r="165" spans="1:4" ht="26.25">
      <c r="A165" s="25">
        <v>9</v>
      </c>
      <c r="B165" s="39" t="s">
        <v>156</v>
      </c>
      <c r="C165" s="27"/>
      <c r="D165" s="40"/>
    </row>
    <row r="166" spans="1:4" ht="26.25">
      <c r="A166" s="25">
        <v>10</v>
      </c>
      <c r="B166" s="39" t="s">
        <v>157</v>
      </c>
      <c r="C166" s="27"/>
      <c r="D166" s="40"/>
    </row>
    <row r="167" spans="1:4" ht="26.25">
      <c r="A167" s="25">
        <v>11</v>
      </c>
      <c r="B167" s="39" t="s">
        <v>158</v>
      </c>
      <c r="C167" s="27"/>
      <c r="D167" s="40"/>
    </row>
    <row r="168" spans="1:4" ht="26.25">
      <c r="A168" s="25">
        <v>12</v>
      </c>
      <c r="B168" s="39" t="s">
        <v>159</v>
      </c>
      <c r="C168" s="27"/>
      <c r="D168" s="40"/>
    </row>
    <row r="169" spans="1:4" ht="26.25">
      <c r="A169" s="25">
        <v>13</v>
      </c>
      <c r="B169" s="39" t="s">
        <v>160</v>
      </c>
      <c r="C169" s="27"/>
      <c r="D169" s="40"/>
    </row>
    <row r="170" spans="1:4" ht="26.25">
      <c r="A170" s="25">
        <v>14</v>
      </c>
      <c r="B170" s="35" t="s">
        <v>161</v>
      </c>
      <c r="C170" s="27"/>
      <c r="D170" s="36"/>
    </row>
    <row r="171" spans="1:4" ht="26.25">
      <c r="A171" s="25">
        <v>15</v>
      </c>
      <c r="B171" s="39" t="s">
        <v>162</v>
      </c>
      <c r="C171" s="27"/>
      <c r="D171" s="40"/>
    </row>
    <row r="172" spans="1:4" ht="26.25">
      <c r="A172" s="25">
        <v>16</v>
      </c>
      <c r="B172" s="39" t="s">
        <v>163</v>
      </c>
      <c r="C172" s="27"/>
      <c r="D172" s="40"/>
    </row>
    <row r="173" spans="1:4" ht="26.25">
      <c r="A173" s="63" t="s">
        <v>164</v>
      </c>
      <c r="B173" s="64"/>
      <c r="C173" s="64"/>
      <c r="D173" s="65"/>
    </row>
    <row r="174" spans="1:4" ht="75">
      <c r="A174" s="25">
        <v>17</v>
      </c>
      <c r="B174" s="35" t="s">
        <v>165</v>
      </c>
      <c r="C174" s="27"/>
      <c r="D174" s="36"/>
    </row>
    <row r="175" spans="1:4" ht="93.75">
      <c r="A175" s="25">
        <v>18</v>
      </c>
      <c r="B175" s="35" t="s">
        <v>166</v>
      </c>
      <c r="C175" s="27"/>
      <c r="D175" s="36"/>
    </row>
    <row r="176" spans="1:4" ht="26.25">
      <c r="A176" s="25">
        <v>19</v>
      </c>
      <c r="B176" s="35" t="s">
        <v>167</v>
      </c>
      <c r="C176" s="27"/>
      <c r="D176" s="36"/>
    </row>
    <row r="177" spans="1:4" ht="112.5">
      <c r="A177" s="25">
        <v>20</v>
      </c>
      <c r="B177" s="35" t="s">
        <v>168</v>
      </c>
      <c r="C177" s="27"/>
      <c r="D177" s="36"/>
    </row>
    <row r="178" spans="1:4" ht="187.5">
      <c r="A178" s="25">
        <v>21</v>
      </c>
      <c r="B178" s="35" t="s">
        <v>169</v>
      </c>
      <c r="C178" s="27"/>
      <c r="D178" s="36"/>
    </row>
    <row r="179" spans="1:4" ht="112.5">
      <c r="A179" s="25">
        <v>22</v>
      </c>
      <c r="B179" s="35" t="s">
        <v>170</v>
      </c>
      <c r="C179" s="27"/>
      <c r="D179" s="36"/>
    </row>
    <row r="180" spans="1:4" ht="168.75">
      <c r="A180" s="25">
        <v>23</v>
      </c>
      <c r="B180" s="35" t="s">
        <v>171</v>
      </c>
      <c r="C180" s="27"/>
      <c r="D180" s="36"/>
    </row>
    <row r="181" spans="1:4" ht="131.25">
      <c r="A181" s="25">
        <v>24</v>
      </c>
      <c r="B181" s="35" t="s">
        <v>172</v>
      </c>
      <c r="C181" s="27"/>
      <c r="D181" s="36"/>
    </row>
    <row r="182" spans="1:4" ht="26.25">
      <c r="A182" s="25">
        <v>25</v>
      </c>
      <c r="B182" s="35" t="s">
        <v>173</v>
      </c>
      <c r="C182" s="27"/>
      <c r="D182" s="36"/>
    </row>
    <row r="183" spans="1:4" ht="26.25">
      <c r="A183" s="25">
        <v>26</v>
      </c>
      <c r="B183" s="35" t="s">
        <v>174</v>
      </c>
      <c r="C183" s="27"/>
      <c r="D183" s="36"/>
    </row>
    <row r="184" spans="1:4" ht="26.25">
      <c r="A184" s="25">
        <v>27</v>
      </c>
      <c r="B184" s="35" t="s">
        <v>175</v>
      </c>
      <c r="C184" s="27"/>
      <c r="D184" s="36"/>
    </row>
    <row r="185" spans="1:4" ht="26.25">
      <c r="A185" s="63" t="s">
        <v>176</v>
      </c>
      <c r="B185" s="64"/>
      <c r="C185" s="64"/>
      <c r="D185" s="65"/>
    </row>
    <row r="186" spans="1:4" ht="318.75">
      <c r="A186" s="25">
        <v>28</v>
      </c>
      <c r="B186" s="35" t="s">
        <v>177</v>
      </c>
      <c r="C186" s="27"/>
      <c r="D186" s="36"/>
    </row>
    <row r="187" spans="1:4" ht="26.25">
      <c r="A187" s="25">
        <v>29</v>
      </c>
      <c r="B187" s="35" t="s">
        <v>178</v>
      </c>
      <c r="C187" s="27"/>
      <c r="D187" s="36"/>
    </row>
    <row r="188" spans="1:4" ht="26.25">
      <c r="A188" s="25">
        <v>30</v>
      </c>
      <c r="B188" s="35" t="s">
        <v>179</v>
      </c>
      <c r="C188" s="27"/>
      <c r="D188" s="36"/>
    </row>
    <row r="189" spans="1:4" ht="26.25">
      <c r="A189" s="25">
        <v>31</v>
      </c>
      <c r="B189" s="35" t="s">
        <v>180</v>
      </c>
      <c r="C189" s="27"/>
      <c r="D189" s="36"/>
    </row>
    <row r="190" spans="1:4" ht="26.25">
      <c r="A190" s="25">
        <v>32</v>
      </c>
      <c r="B190" s="35" t="s">
        <v>181</v>
      </c>
      <c r="C190" s="27"/>
      <c r="D190" s="36"/>
    </row>
    <row r="191" spans="1:4" ht="26.25">
      <c r="A191" s="25">
        <v>33</v>
      </c>
      <c r="B191" s="35" t="s">
        <v>182</v>
      </c>
      <c r="C191" s="27"/>
      <c r="D191" s="36"/>
    </row>
    <row r="192" spans="1:4" ht="37.5">
      <c r="A192" s="25">
        <v>34</v>
      </c>
      <c r="B192" s="35" t="s">
        <v>183</v>
      </c>
      <c r="C192" s="27"/>
      <c r="D192" s="36"/>
    </row>
    <row r="193" spans="1:4" ht="26.25">
      <c r="A193" s="63" t="s">
        <v>184</v>
      </c>
      <c r="B193" s="64"/>
      <c r="C193" s="64"/>
      <c r="D193" s="65"/>
    </row>
    <row r="194" spans="1:4" ht="123.75">
      <c r="A194" s="25">
        <v>35</v>
      </c>
      <c r="B194" s="35" t="s">
        <v>185</v>
      </c>
      <c r="C194" s="27"/>
      <c r="D194" s="36"/>
    </row>
    <row r="195" spans="1:4" ht="26.25">
      <c r="A195" s="81" t="s">
        <v>72</v>
      </c>
      <c r="B195" s="82"/>
      <c r="C195" s="82"/>
      <c r="D195" s="29" t="str">
        <f>IF(COUNT(C157:C194)=0,"N/A",SUM((C157:C194))/(COUNT((C157:C194))*2))</f>
        <v>N/A</v>
      </c>
    </row>
    <row r="196" spans="1:4" ht="26.25">
      <c r="A196" s="84" t="s">
        <v>186</v>
      </c>
      <c r="B196" s="85"/>
      <c r="C196" s="85"/>
      <c r="D196" s="86"/>
    </row>
    <row r="197" spans="1:4" ht="26.25">
      <c r="A197" s="42">
        <v>1</v>
      </c>
      <c r="B197" s="43" t="s">
        <v>187</v>
      </c>
      <c r="C197" s="27"/>
      <c r="D197" s="44"/>
    </row>
    <row r="198" spans="1:4" ht="26.25">
      <c r="A198" s="42">
        <v>2</v>
      </c>
      <c r="B198" s="43" t="s">
        <v>188</v>
      </c>
      <c r="C198" s="27"/>
      <c r="D198" s="44"/>
    </row>
    <row r="199" spans="1:4" ht="26.25">
      <c r="A199" s="42">
        <v>3</v>
      </c>
      <c r="B199" s="43" t="s">
        <v>189</v>
      </c>
      <c r="C199" s="27"/>
      <c r="D199" s="44"/>
    </row>
    <row r="200" spans="1:4" ht="26.25">
      <c r="A200" s="42">
        <v>4</v>
      </c>
      <c r="B200" s="43" t="s">
        <v>190</v>
      </c>
      <c r="C200" s="27"/>
      <c r="D200" s="44"/>
    </row>
    <row r="201" spans="1:4" ht="26.25">
      <c r="A201" s="42">
        <v>5</v>
      </c>
      <c r="B201" s="43" t="s">
        <v>191</v>
      </c>
      <c r="C201" s="27"/>
      <c r="D201" s="44"/>
    </row>
    <row r="202" spans="1:4" ht="26.25">
      <c r="A202" s="42">
        <v>6</v>
      </c>
      <c r="B202" s="43" t="s">
        <v>192</v>
      </c>
      <c r="C202" s="27"/>
      <c r="D202" s="44"/>
    </row>
    <row r="203" spans="1:4" ht="26.25">
      <c r="A203" s="42">
        <v>7</v>
      </c>
      <c r="B203" s="43" t="s">
        <v>193</v>
      </c>
      <c r="C203" s="27"/>
      <c r="D203" s="44"/>
    </row>
    <row r="204" spans="1:4" ht="26.25">
      <c r="A204" s="42">
        <v>8</v>
      </c>
      <c r="B204" s="43" t="s">
        <v>194</v>
      </c>
      <c r="C204" s="27"/>
      <c r="D204" s="44"/>
    </row>
    <row r="205" spans="1:4" ht="37.5">
      <c r="A205" s="42">
        <v>9</v>
      </c>
      <c r="B205" s="43" t="s">
        <v>195</v>
      </c>
      <c r="C205" s="27"/>
      <c r="D205" s="44"/>
    </row>
    <row r="206" spans="1:4" ht="26.25">
      <c r="A206" s="42">
        <v>10</v>
      </c>
      <c r="B206" s="43" t="s">
        <v>196</v>
      </c>
      <c r="C206" s="27"/>
      <c r="D206" s="44"/>
    </row>
    <row r="207" spans="1:4" ht="26.25">
      <c r="A207" s="42">
        <v>11</v>
      </c>
      <c r="B207" s="43" t="s">
        <v>197</v>
      </c>
      <c r="C207" s="27"/>
      <c r="D207" s="44"/>
    </row>
    <row r="208" spans="1:4" ht="26.25">
      <c r="A208" s="42">
        <v>12</v>
      </c>
      <c r="B208" s="43" t="s">
        <v>198</v>
      </c>
      <c r="C208" s="27"/>
      <c r="D208" s="44"/>
    </row>
    <row r="209" spans="1:4" ht="26.25">
      <c r="A209" s="42">
        <v>13</v>
      </c>
      <c r="B209" s="43" t="s">
        <v>199</v>
      </c>
      <c r="C209" s="27"/>
      <c r="D209" s="44"/>
    </row>
    <row r="210" spans="1:4" ht="26.25">
      <c r="A210" s="42">
        <v>14</v>
      </c>
      <c r="B210" s="43" t="s">
        <v>200</v>
      </c>
      <c r="C210" s="27"/>
      <c r="D210" s="44"/>
    </row>
    <row r="211" spans="1:4" ht="26.25">
      <c r="A211" s="42">
        <v>15</v>
      </c>
      <c r="B211" s="43" t="s">
        <v>201</v>
      </c>
      <c r="C211" s="27"/>
      <c r="D211" s="44"/>
    </row>
    <row r="212" spans="1:4" ht="26.25">
      <c r="A212" s="81" t="s">
        <v>72</v>
      </c>
      <c r="B212" s="82"/>
      <c r="C212" s="82"/>
      <c r="D212" s="29" t="str">
        <f>IF(COUNT(C197:C211)=0,"N/A",SUM((C197:C211))/(COUNT((C197:C211))*2))</f>
        <v>N/A</v>
      </c>
    </row>
    <row r="213" spans="1:4" ht="26.25">
      <c r="A213" s="84" t="s">
        <v>202</v>
      </c>
      <c r="B213" s="85"/>
      <c r="C213" s="85"/>
      <c r="D213" s="86"/>
    </row>
    <row r="214" spans="1:4" ht="26.25">
      <c r="A214" s="63" t="s">
        <v>203</v>
      </c>
      <c r="B214" s="64"/>
      <c r="C214" s="64"/>
      <c r="D214" s="65"/>
    </row>
    <row r="215" spans="1:4" ht="93.75">
      <c r="A215" s="42">
        <v>1</v>
      </c>
      <c r="B215" s="39" t="s">
        <v>204</v>
      </c>
      <c r="C215" s="27"/>
      <c r="D215" s="40"/>
    </row>
    <row r="216" spans="1:4" ht="26.25">
      <c r="A216" s="42">
        <v>2</v>
      </c>
      <c r="B216" s="35" t="s">
        <v>205</v>
      </c>
      <c r="C216" s="27"/>
      <c r="D216" s="36"/>
    </row>
    <row r="217" spans="1:4" ht="26.25">
      <c r="A217" s="42">
        <v>3</v>
      </c>
      <c r="B217" s="35" t="s">
        <v>206</v>
      </c>
      <c r="C217" s="27"/>
      <c r="D217" s="36"/>
    </row>
    <row r="218" spans="1:4" ht="26.25">
      <c r="A218" s="42">
        <v>4</v>
      </c>
      <c r="B218" s="35" t="s">
        <v>207</v>
      </c>
      <c r="C218" s="27"/>
      <c r="D218" s="36"/>
    </row>
    <row r="219" spans="1:4" ht="26.25">
      <c r="A219" s="42">
        <v>5</v>
      </c>
      <c r="B219" s="35" t="s">
        <v>208</v>
      </c>
      <c r="C219" s="27"/>
      <c r="D219" s="36"/>
    </row>
    <row r="220" spans="1:4" ht="26.25">
      <c r="A220" s="42">
        <v>6</v>
      </c>
      <c r="B220" s="35" t="s">
        <v>209</v>
      </c>
      <c r="C220" s="27"/>
      <c r="D220" s="36"/>
    </row>
    <row r="221" spans="1:4" ht="26.25">
      <c r="A221" s="42">
        <v>7</v>
      </c>
      <c r="B221" s="35" t="s">
        <v>210</v>
      </c>
      <c r="C221" s="27"/>
      <c r="D221" s="36"/>
    </row>
    <row r="222" spans="1:4" ht="37.5">
      <c r="A222" s="42">
        <v>8</v>
      </c>
      <c r="B222" s="35" t="s">
        <v>211</v>
      </c>
      <c r="C222" s="27"/>
      <c r="D222" s="36"/>
    </row>
    <row r="223" spans="1:4" ht="26.25">
      <c r="A223" s="42">
        <v>9</v>
      </c>
      <c r="B223" s="35" t="s">
        <v>212</v>
      </c>
      <c r="C223" s="27"/>
      <c r="D223" s="36"/>
    </row>
    <row r="224" spans="1:4" ht="93.75">
      <c r="A224" s="42">
        <v>10</v>
      </c>
      <c r="B224" s="39" t="s">
        <v>213</v>
      </c>
      <c r="C224" s="27"/>
      <c r="D224" s="40"/>
    </row>
    <row r="225" spans="1:4" ht="37.5">
      <c r="A225" s="42">
        <v>11</v>
      </c>
      <c r="B225" s="35" t="s">
        <v>214</v>
      </c>
      <c r="C225" s="27"/>
      <c r="D225" s="36"/>
    </row>
    <row r="226" spans="1:4" ht="26.25">
      <c r="A226" s="42">
        <v>12</v>
      </c>
      <c r="B226" s="35" t="s">
        <v>215</v>
      </c>
      <c r="C226" s="27"/>
      <c r="D226" s="36"/>
    </row>
    <row r="227" spans="1:4" ht="26.25">
      <c r="A227" s="42">
        <v>13</v>
      </c>
      <c r="B227" s="35" t="s">
        <v>216</v>
      </c>
      <c r="C227" s="27"/>
      <c r="D227" s="36"/>
    </row>
    <row r="228" spans="1:4" ht="26.25">
      <c r="A228" s="42">
        <v>14</v>
      </c>
      <c r="B228" s="39" t="s">
        <v>217</v>
      </c>
      <c r="C228" s="27"/>
      <c r="D228" s="40"/>
    </row>
    <row r="229" spans="1:4" ht="26.25">
      <c r="A229" s="42">
        <v>15</v>
      </c>
      <c r="B229" s="35" t="s">
        <v>218</v>
      </c>
      <c r="C229" s="27"/>
      <c r="D229" s="36"/>
    </row>
    <row r="230" spans="1:4" ht="37.5">
      <c r="A230" s="42">
        <v>16</v>
      </c>
      <c r="B230" s="39" t="s">
        <v>219</v>
      </c>
      <c r="C230" s="27"/>
      <c r="D230" s="40"/>
    </row>
    <row r="231" spans="1:4" ht="37.5">
      <c r="A231" s="42">
        <v>17</v>
      </c>
      <c r="B231" s="39" t="s">
        <v>220</v>
      </c>
      <c r="C231" s="27"/>
      <c r="D231" s="40"/>
    </row>
    <row r="232" spans="1:4" ht="26.25">
      <c r="A232" s="63" t="s">
        <v>221</v>
      </c>
      <c r="B232" s="64"/>
      <c r="C232" s="64"/>
      <c r="D232" s="65"/>
    </row>
    <row r="233" spans="1:4" ht="26.25">
      <c r="A233" s="42">
        <v>18</v>
      </c>
      <c r="B233" s="39" t="s">
        <v>222</v>
      </c>
      <c r="C233" s="27"/>
      <c r="D233" s="40"/>
    </row>
    <row r="234" spans="1:4" ht="26.25">
      <c r="A234" s="42">
        <v>19</v>
      </c>
      <c r="B234" s="35" t="s">
        <v>223</v>
      </c>
      <c r="C234" s="27"/>
      <c r="D234" s="36"/>
    </row>
    <row r="235" spans="1:4" ht="26.25">
      <c r="A235" s="42">
        <v>20</v>
      </c>
      <c r="B235" s="39" t="s">
        <v>224</v>
      </c>
      <c r="C235" s="27"/>
      <c r="D235" s="40"/>
    </row>
    <row r="236" spans="1:4" ht="26.25">
      <c r="A236" s="42">
        <v>21</v>
      </c>
      <c r="B236" s="35" t="s">
        <v>225</v>
      </c>
      <c r="C236" s="27"/>
      <c r="D236" s="36"/>
    </row>
    <row r="237" spans="1:4" ht="26.25">
      <c r="A237" s="42">
        <v>22</v>
      </c>
      <c r="B237" s="35" t="s">
        <v>226</v>
      </c>
      <c r="C237" s="27"/>
      <c r="D237" s="36"/>
    </row>
    <row r="238" spans="1:4" ht="26.25">
      <c r="A238" s="42">
        <v>23</v>
      </c>
      <c r="B238" s="35" t="s">
        <v>227</v>
      </c>
      <c r="C238" s="27"/>
      <c r="D238" s="36"/>
    </row>
    <row r="239" spans="1:4" ht="26.25">
      <c r="A239" s="42">
        <v>24</v>
      </c>
      <c r="B239" s="35" t="s">
        <v>228</v>
      </c>
      <c r="C239" s="27"/>
      <c r="D239" s="36"/>
    </row>
    <row r="240" spans="1:4" ht="26.25">
      <c r="A240" s="42">
        <v>25</v>
      </c>
      <c r="B240" s="39" t="s">
        <v>229</v>
      </c>
      <c r="C240" s="27"/>
      <c r="D240" s="40"/>
    </row>
    <row r="241" spans="1:4" ht="26.25">
      <c r="A241" s="42">
        <v>26</v>
      </c>
      <c r="B241" s="35" t="s">
        <v>230</v>
      </c>
      <c r="C241" s="27"/>
      <c r="D241" s="36"/>
    </row>
    <row r="242" spans="1:4" ht="26.25">
      <c r="A242" s="42">
        <v>27</v>
      </c>
      <c r="B242" s="35" t="s">
        <v>231</v>
      </c>
      <c r="C242" s="27"/>
      <c r="D242" s="36"/>
    </row>
    <row r="243" spans="1:4" ht="26.25">
      <c r="A243" s="42">
        <v>28</v>
      </c>
      <c r="B243" s="35" t="s">
        <v>232</v>
      </c>
      <c r="C243" s="27"/>
      <c r="D243" s="36"/>
    </row>
    <row r="244" spans="1:4" ht="26.25">
      <c r="A244" s="42">
        <v>29</v>
      </c>
      <c r="B244" s="35" t="s">
        <v>233</v>
      </c>
      <c r="C244" s="27"/>
      <c r="D244" s="36"/>
    </row>
    <row r="245" spans="1:4" ht="26.25">
      <c r="A245" s="42">
        <v>30</v>
      </c>
      <c r="B245" s="35" t="s">
        <v>234</v>
      </c>
      <c r="C245" s="27"/>
      <c r="D245" s="36"/>
    </row>
    <row r="246" spans="1:4" ht="26.25">
      <c r="A246" s="42">
        <v>31</v>
      </c>
      <c r="B246" s="39" t="s">
        <v>235</v>
      </c>
      <c r="C246" s="27"/>
      <c r="D246" s="40"/>
    </row>
    <row r="247" spans="1:4" ht="56.25">
      <c r="A247" s="42">
        <v>32</v>
      </c>
      <c r="B247" s="35" t="s">
        <v>236</v>
      </c>
      <c r="C247" s="27"/>
      <c r="D247" s="36"/>
    </row>
    <row r="248" spans="1:4" ht="93.75">
      <c r="A248" s="42">
        <v>33</v>
      </c>
      <c r="B248" s="35" t="s">
        <v>237</v>
      </c>
      <c r="C248" s="27"/>
      <c r="D248" s="36"/>
    </row>
    <row r="249" spans="1:4" ht="26.25">
      <c r="A249" s="25">
        <v>34</v>
      </c>
      <c r="B249" s="45" t="s">
        <v>238</v>
      </c>
      <c r="C249" s="27"/>
      <c r="D249" s="46"/>
    </row>
    <row r="250" spans="1:4" ht="26.25">
      <c r="A250" s="25">
        <v>35</v>
      </c>
      <c r="B250" s="45" t="s">
        <v>239</v>
      </c>
      <c r="C250" s="27"/>
      <c r="D250" s="47"/>
    </row>
    <row r="251" spans="1:4" ht="67.5">
      <c r="A251" s="25">
        <v>36</v>
      </c>
      <c r="B251" s="45" t="s">
        <v>240</v>
      </c>
      <c r="C251" s="27"/>
      <c r="D251" s="47"/>
    </row>
    <row r="252" spans="1:4" ht="26.25">
      <c r="A252" s="25">
        <v>37</v>
      </c>
      <c r="B252" s="45" t="s">
        <v>241</v>
      </c>
      <c r="C252" s="27"/>
      <c r="D252" s="46"/>
    </row>
    <row r="253" spans="1:4" ht="26.25">
      <c r="A253" s="25">
        <v>38</v>
      </c>
      <c r="B253" s="45" t="s">
        <v>242</v>
      </c>
      <c r="C253" s="27"/>
      <c r="D253" s="46"/>
    </row>
    <row r="254" spans="1:4" ht="26.25">
      <c r="A254" s="25">
        <v>39</v>
      </c>
      <c r="B254" s="45" t="s">
        <v>243</v>
      </c>
      <c r="C254" s="27"/>
      <c r="D254" s="46"/>
    </row>
    <row r="255" spans="1:4" ht="26.25">
      <c r="A255" s="25">
        <v>40</v>
      </c>
      <c r="B255" s="45" t="s">
        <v>244</v>
      </c>
      <c r="C255" s="27"/>
      <c r="D255" s="46"/>
    </row>
    <row r="256" spans="1:4" ht="26.25">
      <c r="A256" s="25">
        <v>41</v>
      </c>
      <c r="B256" s="45" t="s">
        <v>245</v>
      </c>
      <c r="C256" s="27"/>
      <c r="D256" s="46"/>
    </row>
    <row r="257" spans="1:4" ht="26.25">
      <c r="A257" s="25">
        <v>42</v>
      </c>
      <c r="B257" s="45" t="s">
        <v>246</v>
      </c>
      <c r="C257" s="27"/>
      <c r="D257" s="47"/>
    </row>
    <row r="258" spans="1:4" ht="26.25">
      <c r="A258" s="25">
        <v>43</v>
      </c>
      <c r="B258" s="45" t="s">
        <v>247</v>
      </c>
      <c r="C258" s="27"/>
      <c r="D258" s="46"/>
    </row>
    <row r="259" spans="1:4" ht="26.25">
      <c r="A259" s="63" t="s">
        <v>248</v>
      </c>
      <c r="B259" s="64"/>
      <c r="C259" s="64"/>
      <c r="D259" s="65"/>
    </row>
    <row r="260" spans="1:4" ht="300">
      <c r="A260" s="25">
        <v>44</v>
      </c>
      <c r="B260" s="35" t="s">
        <v>249</v>
      </c>
      <c r="C260" s="27"/>
      <c r="D260" s="36"/>
    </row>
    <row r="261" spans="1:4" ht="26.25">
      <c r="A261" s="81" t="s">
        <v>72</v>
      </c>
      <c r="B261" s="82"/>
      <c r="C261" s="82"/>
      <c r="D261" s="29" t="str">
        <f>IF(COUNT(C215:C260)=0,"N/A",SUM((C215:C260))/(COUNT((C215:C260))*2))</f>
        <v>N/A</v>
      </c>
    </row>
    <row r="262" spans="1:4" ht="26.25">
      <c r="A262" s="96" t="s">
        <v>250</v>
      </c>
      <c r="B262" s="97"/>
      <c r="C262" s="97"/>
      <c r="D262" s="98"/>
    </row>
    <row r="263" spans="1:4" ht="26.25">
      <c r="A263" s="48"/>
      <c r="B263" s="49" t="s">
        <v>251</v>
      </c>
      <c r="C263" s="27"/>
      <c r="D263" s="50"/>
    </row>
    <row r="264" spans="1:4" ht="26.25">
      <c r="A264" s="25">
        <v>1</v>
      </c>
      <c r="B264" s="35" t="s">
        <v>252</v>
      </c>
      <c r="C264" s="27"/>
      <c r="D264" s="36"/>
    </row>
    <row r="265" spans="1:4" ht="26.25">
      <c r="A265" s="25">
        <v>2</v>
      </c>
      <c r="B265" s="35" t="s">
        <v>253</v>
      </c>
      <c r="C265" s="27"/>
      <c r="D265" s="36"/>
    </row>
    <row r="266" spans="1:4" ht="26.25">
      <c r="A266" s="25">
        <v>3</v>
      </c>
      <c r="B266" s="35" t="s">
        <v>254</v>
      </c>
      <c r="C266" s="27"/>
      <c r="D266" s="36"/>
    </row>
    <row r="267" spans="1:4" ht="26.25">
      <c r="A267" s="25">
        <v>4</v>
      </c>
      <c r="B267" s="35" t="s">
        <v>255</v>
      </c>
      <c r="C267" s="27"/>
      <c r="D267" s="36"/>
    </row>
    <row r="268" spans="1:4" ht="26.25">
      <c r="A268" s="25">
        <v>5</v>
      </c>
      <c r="B268" s="35" t="s">
        <v>256</v>
      </c>
      <c r="C268" s="27"/>
      <c r="D268" s="36"/>
    </row>
    <row r="269" spans="1:4" ht="26.25">
      <c r="A269" s="48"/>
      <c r="B269" s="49" t="s">
        <v>257</v>
      </c>
      <c r="C269" s="27"/>
      <c r="D269" s="50"/>
    </row>
    <row r="270" spans="1:4" ht="26.25">
      <c r="A270" s="25">
        <v>6</v>
      </c>
      <c r="B270" s="35" t="s">
        <v>258</v>
      </c>
      <c r="C270" s="27"/>
      <c r="D270" s="36"/>
    </row>
    <row r="271" spans="1:4" ht="26.25">
      <c r="A271" s="25">
        <v>7</v>
      </c>
      <c r="B271" s="35" t="s">
        <v>259</v>
      </c>
      <c r="C271" s="27"/>
      <c r="D271" s="36"/>
    </row>
    <row r="272" spans="1:4" ht="26.25">
      <c r="A272" s="25">
        <v>8</v>
      </c>
      <c r="B272" s="35" t="s">
        <v>260</v>
      </c>
      <c r="C272" s="27"/>
      <c r="D272" s="36"/>
    </row>
    <row r="273" spans="1:4" ht="26.25">
      <c r="A273" s="25">
        <v>9</v>
      </c>
      <c r="B273" s="35" t="s">
        <v>261</v>
      </c>
      <c r="C273" s="27"/>
      <c r="D273" s="36"/>
    </row>
    <row r="274" spans="1:4" ht="26.25">
      <c r="A274" s="25">
        <v>10</v>
      </c>
      <c r="B274" s="35" t="s">
        <v>262</v>
      </c>
      <c r="C274" s="27"/>
      <c r="D274" s="36"/>
    </row>
    <row r="275" spans="1:4" ht="26.25">
      <c r="A275" s="25">
        <v>11</v>
      </c>
      <c r="B275" s="35" t="s">
        <v>263</v>
      </c>
      <c r="C275" s="27"/>
      <c r="D275" s="36"/>
    </row>
    <row r="276" spans="1:4" ht="26.25">
      <c r="A276" s="25">
        <v>12</v>
      </c>
      <c r="B276" s="35" t="s">
        <v>264</v>
      </c>
      <c r="C276" s="27"/>
      <c r="D276" s="36"/>
    </row>
    <row r="277" spans="1:4" ht="26.25">
      <c r="A277" s="25">
        <v>13</v>
      </c>
      <c r="B277" s="35" t="s">
        <v>265</v>
      </c>
      <c r="C277" s="27"/>
      <c r="D277" s="36"/>
    </row>
    <row r="278" spans="1:4" ht="26.25">
      <c r="A278" s="81" t="s">
        <v>72</v>
      </c>
      <c r="B278" s="82"/>
      <c r="C278" s="82"/>
      <c r="D278" s="29" t="str">
        <f>IF(COUNT(C263:C277)=0,"N/A",SUM((C263:C277))/(COUNT((C263:C277))*2))</f>
        <v>N/A</v>
      </c>
    </row>
    <row r="279" spans="1:4" ht="26.25">
      <c r="A279" s="84" t="s">
        <v>266</v>
      </c>
      <c r="B279" s="85"/>
      <c r="C279" s="85"/>
      <c r="D279" s="86"/>
    </row>
    <row r="280" spans="1:4" ht="26.25">
      <c r="A280" s="63" t="s">
        <v>267</v>
      </c>
      <c r="B280" s="64"/>
      <c r="C280" s="64"/>
      <c r="D280" s="65"/>
    </row>
    <row r="281" spans="1:4" ht="26.25">
      <c r="A281" s="25">
        <v>1</v>
      </c>
      <c r="B281" s="35" t="s">
        <v>268</v>
      </c>
      <c r="C281" s="27"/>
      <c r="D281" s="36"/>
    </row>
    <row r="282" spans="1:4" ht="26.25">
      <c r="A282" s="25">
        <v>2</v>
      </c>
      <c r="B282" s="35" t="s">
        <v>269</v>
      </c>
      <c r="C282" s="27"/>
      <c r="D282" s="36"/>
    </row>
    <row r="283" spans="1:4" ht="26.25">
      <c r="A283" s="25">
        <v>3</v>
      </c>
      <c r="B283" s="35" t="s">
        <v>270</v>
      </c>
      <c r="C283" s="27"/>
      <c r="D283" s="36"/>
    </row>
    <row r="284" spans="1:4" ht="26.25">
      <c r="A284" s="25">
        <v>4</v>
      </c>
      <c r="B284" s="35" t="s">
        <v>271</v>
      </c>
      <c r="C284" s="27"/>
      <c r="D284" s="36"/>
    </row>
    <row r="285" spans="1:4" ht="26.25">
      <c r="A285" s="25">
        <v>5</v>
      </c>
      <c r="B285" s="35" t="s">
        <v>272</v>
      </c>
      <c r="C285" s="27"/>
      <c r="D285" s="36"/>
    </row>
    <row r="286" spans="1:4" ht="26.25">
      <c r="A286" s="25">
        <v>6</v>
      </c>
      <c r="B286" s="35" t="s">
        <v>273</v>
      </c>
      <c r="C286" s="27"/>
      <c r="D286" s="36"/>
    </row>
    <row r="287" spans="1:4" ht="26.25">
      <c r="A287" s="25">
        <v>7</v>
      </c>
      <c r="B287" s="35" t="s">
        <v>274</v>
      </c>
      <c r="C287" s="27"/>
      <c r="D287" s="36"/>
    </row>
    <row r="288" spans="1:4" ht="26.25">
      <c r="A288" s="25">
        <v>8</v>
      </c>
      <c r="B288" s="35" t="s">
        <v>275</v>
      </c>
      <c r="C288" s="27"/>
      <c r="D288" s="36"/>
    </row>
    <row r="289" spans="1:4" ht="26.25">
      <c r="A289" s="25">
        <v>9</v>
      </c>
      <c r="B289" s="35" t="s">
        <v>276</v>
      </c>
      <c r="C289" s="27"/>
      <c r="D289" s="36"/>
    </row>
    <row r="290" spans="1:4" ht="26.25">
      <c r="A290" s="25">
        <v>10</v>
      </c>
      <c r="B290" s="35" t="s">
        <v>277</v>
      </c>
      <c r="C290" s="27"/>
      <c r="D290" s="36"/>
    </row>
    <row r="291" spans="1:4" ht="26.25">
      <c r="A291" s="25">
        <v>11</v>
      </c>
      <c r="B291" s="35" t="s">
        <v>278</v>
      </c>
      <c r="C291" s="27"/>
      <c r="D291" s="36"/>
    </row>
    <row r="292" spans="1:4" ht="26.25">
      <c r="A292" s="25">
        <v>12</v>
      </c>
      <c r="B292" s="35" t="s">
        <v>279</v>
      </c>
      <c r="C292" s="27"/>
      <c r="D292" s="36"/>
    </row>
    <row r="293" spans="1:4" ht="26.25">
      <c r="A293" s="25">
        <v>13</v>
      </c>
      <c r="B293" s="35" t="s">
        <v>280</v>
      </c>
      <c r="C293" s="27"/>
      <c r="D293" s="36"/>
    </row>
    <row r="294" spans="1:4" ht="26.25">
      <c r="A294" s="63" t="s">
        <v>144</v>
      </c>
      <c r="B294" s="64"/>
      <c r="C294" s="64"/>
      <c r="D294" s="65"/>
    </row>
    <row r="295" spans="1:4" ht="37.5">
      <c r="A295" s="25">
        <v>14</v>
      </c>
      <c r="B295" s="35" t="s">
        <v>281</v>
      </c>
      <c r="C295" s="27"/>
      <c r="D295" s="36"/>
    </row>
    <row r="296" spans="1:4" ht="37.5">
      <c r="A296" s="25">
        <v>15</v>
      </c>
      <c r="B296" s="35" t="s">
        <v>282</v>
      </c>
      <c r="C296" s="27"/>
      <c r="D296" s="36"/>
    </row>
    <row r="297" spans="1:4" ht="56.25">
      <c r="A297" s="25">
        <v>16</v>
      </c>
      <c r="B297" s="35" t="s">
        <v>283</v>
      </c>
      <c r="C297" s="27"/>
      <c r="D297" s="36"/>
    </row>
    <row r="298" spans="1:4" ht="131.25">
      <c r="A298" s="25">
        <v>17</v>
      </c>
      <c r="B298" s="35" t="s">
        <v>284</v>
      </c>
      <c r="C298" s="27"/>
      <c r="D298" s="36"/>
    </row>
    <row r="299" spans="1:4" ht="26.25">
      <c r="A299" s="81" t="s">
        <v>72</v>
      </c>
      <c r="B299" s="82"/>
      <c r="C299" s="82"/>
      <c r="D299" s="29" t="str">
        <f>IF(COUNT(C281:C298)=0,"N/A",SUM((C281:C298))/(COUNT((C281:C298))*2))</f>
        <v>N/A</v>
      </c>
    </row>
    <row r="300" spans="1:4" ht="26.25">
      <c r="A300" s="84" t="s">
        <v>285</v>
      </c>
      <c r="B300" s="85"/>
      <c r="C300" s="85"/>
      <c r="D300" s="86"/>
    </row>
    <row r="301" spans="1:4" ht="26.25">
      <c r="A301" s="63" t="s">
        <v>286</v>
      </c>
      <c r="B301" s="64"/>
      <c r="C301" s="64"/>
      <c r="D301" s="65"/>
    </row>
    <row r="302" spans="1:4" ht="26.25">
      <c r="A302" s="25">
        <v>1</v>
      </c>
      <c r="B302" s="35" t="s">
        <v>287</v>
      </c>
      <c r="C302" s="27"/>
      <c r="D302" s="36"/>
    </row>
    <row r="303" spans="1:4" ht="26.25">
      <c r="A303" s="25">
        <v>2</v>
      </c>
      <c r="B303" s="35" t="s">
        <v>288</v>
      </c>
      <c r="C303" s="27"/>
      <c r="D303" s="36"/>
    </row>
    <row r="304" spans="1:4" ht="26.25">
      <c r="A304" s="25">
        <v>3</v>
      </c>
      <c r="B304" s="35" t="s">
        <v>289</v>
      </c>
      <c r="C304" s="27"/>
      <c r="D304" s="36"/>
    </row>
    <row r="305" spans="1:4" ht="26.25">
      <c r="A305" s="63" t="s">
        <v>290</v>
      </c>
      <c r="B305" s="64"/>
      <c r="C305" s="64"/>
      <c r="D305" s="65"/>
    </row>
    <row r="306" spans="1:4" ht="26.25">
      <c r="A306" s="25">
        <v>4</v>
      </c>
      <c r="B306" s="35" t="s">
        <v>291</v>
      </c>
      <c r="C306" s="27"/>
      <c r="D306" s="36"/>
    </row>
    <row r="307" spans="1:4" ht="26.25">
      <c r="A307" s="25">
        <v>5</v>
      </c>
      <c r="B307" s="35" t="s">
        <v>292</v>
      </c>
      <c r="C307" s="27"/>
      <c r="D307" s="36"/>
    </row>
    <row r="308" spans="1:4" ht="26.25">
      <c r="A308" s="25">
        <v>6</v>
      </c>
      <c r="B308" s="35" t="s">
        <v>293</v>
      </c>
      <c r="C308" s="27"/>
      <c r="D308" s="36"/>
    </row>
    <row r="309" spans="1:4" ht="26.25">
      <c r="A309" s="25">
        <v>7</v>
      </c>
      <c r="B309" s="35" t="s">
        <v>294</v>
      </c>
      <c r="C309" s="27"/>
      <c r="D309" s="36"/>
    </row>
    <row r="310" spans="1:4" ht="26.25">
      <c r="A310" s="25">
        <v>8</v>
      </c>
      <c r="B310" s="35" t="s">
        <v>295</v>
      </c>
      <c r="C310" s="27"/>
      <c r="D310" s="36"/>
    </row>
    <row r="311" spans="1:4" ht="26.25">
      <c r="A311" s="25">
        <v>9</v>
      </c>
      <c r="B311" s="35" t="s">
        <v>296</v>
      </c>
      <c r="C311" s="27"/>
      <c r="D311" s="36"/>
    </row>
    <row r="312" spans="1:4" ht="26.25">
      <c r="A312" s="25">
        <v>10</v>
      </c>
      <c r="B312" s="35" t="s">
        <v>297</v>
      </c>
      <c r="C312" s="27"/>
      <c r="D312" s="36"/>
    </row>
    <row r="313" spans="1:4" ht="26.25">
      <c r="A313" s="25">
        <v>11</v>
      </c>
      <c r="B313" s="35" t="s">
        <v>298</v>
      </c>
      <c r="C313" s="27"/>
      <c r="D313" s="36"/>
    </row>
    <row r="314" spans="1:4" ht="26.25">
      <c r="A314" s="25">
        <v>12</v>
      </c>
      <c r="B314" s="35" t="s">
        <v>299</v>
      </c>
      <c r="C314" s="27"/>
      <c r="D314" s="36"/>
    </row>
    <row r="315" spans="1:4" ht="26.25">
      <c r="A315" s="25">
        <v>13</v>
      </c>
      <c r="B315" s="35" t="s">
        <v>300</v>
      </c>
      <c r="C315" s="27"/>
      <c r="D315" s="36"/>
    </row>
    <row r="316" spans="1:4" ht="26.25">
      <c r="A316" s="63" t="s">
        <v>301</v>
      </c>
      <c r="B316" s="64"/>
      <c r="C316" s="64"/>
      <c r="D316" s="65"/>
    </row>
    <row r="317" spans="1:4" ht="26.25">
      <c r="A317" s="25">
        <v>14</v>
      </c>
      <c r="B317" s="35" t="s">
        <v>302</v>
      </c>
      <c r="C317" s="27"/>
      <c r="D317" s="36"/>
    </row>
    <row r="318" spans="1:4" ht="26.25">
      <c r="A318" s="25">
        <v>15</v>
      </c>
      <c r="B318" s="35" t="s">
        <v>303</v>
      </c>
      <c r="C318" s="27"/>
      <c r="D318" s="36"/>
    </row>
    <row r="319" spans="1:4" ht="26.25">
      <c r="A319" s="25">
        <v>16</v>
      </c>
      <c r="B319" s="35" t="s">
        <v>304</v>
      </c>
      <c r="C319" s="27"/>
      <c r="D319" s="36"/>
    </row>
    <row r="320" spans="1:4" ht="26.25">
      <c r="A320" s="25">
        <v>17</v>
      </c>
      <c r="B320" s="35" t="s">
        <v>305</v>
      </c>
      <c r="C320" s="27"/>
      <c r="D320" s="36"/>
    </row>
    <row r="321" spans="1:4" ht="26.25">
      <c r="A321" s="25">
        <v>18</v>
      </c>
      <c r="B321" s="35" t="s">
        <v>306</v>
      </c>
      <c r="C321" s="27"/>
      <c r="D321" s="36"/>
    </row>
    <row r="322" spans="1:4" ht="26.25">
      <c r="A322" s="25">
        <v>19</v>
      </c>
      <c r="B322" s="35" t="s">
        <v>307</v>
      </c>
      <c r="C322" s="27"/>
      <c r="D322" s="36"/>
    </row>
    <row r="323" spans="1:4" ht="26.25">
      <c r="A323" s="25">
        <v>20</v>
      </c>
      <c r="B323" s="35" t="s">
        <v>308</v>
      </c>
      <c r="C323" s="27"/>
      <c r="D323" s="36"/>
    </row>
    <row r="324" spans="1:4" ht="26.25">
      <c r="A324" s="63" t="s">
        <v>309</v>
      </c>
      <c r="B324" s="64"/>
      <c r="C324" s="64"/>
      <c r="D324" s="65"/>
    </row>
    <row r="325" spans="1:4" ht="187.5">
      <c r="A325" s="25">
        <v>21</v>
      </c>
      <c r="B325" s="35" t="s">
        <v>310</v>
      </c>
      <c r="C325" s="27"/>
      <c r="D325" s="36"/>
    </row>
    <row r="326" spans="1:4" ht="26.25">
      <c r="A326" s="81" t="s">
        <v>72</v>
      </c>
      <c r="B326" s="82"/>
      <c r="C326" s="82"/>
      <c r="D326" s="29" t="str">
        <f>IF(COUNT(C302:C325)=0,"N/A",SUM((C302:C325))/(COUNT((C302:C325))*2))</f>
        <v>N/A</v>
      </c>
    </row>
    <row r="327" spans="1:4" ht="26.25">
      <c r="A327" s="84" t="s">
        <v>311</v>
      </c>
      <c r="B327" s="85"/>
      <c r="C327" s="85"/>
      <c r="D327" s="86"/>
    </row>
    <row r="328" spans="1:4" ht="26.25">
      <c r="A328" s="63" t="s">
        <v>312</v>
      </c>
      <c r="B328" s="64"/>
      <c r="C328" s="64"/>
      <c r="D328" s="65"/>
    </row>
    <row r="329" spans="1:4" ht="26.25">
      <c r="A329" s="25">
        <v>1</v>
      </c>
      <c r="B329" s="35" t="s">
        <v>313</v>
      </c>
      <c r="C329" s="27"/>
      <c r="D329" s="36"/>
    </row>
    <row r="330" spans="1:4" ht="26.25">
      <c r="A330" s="25">
        <v>2</v>
      </c>
      <c r="B330" s="39" t="s">
        <v>314</v>
      </c>
      <c r="C330" s="27"/>
      <c r="D330" s="40"/>
    </row>
    <row r="331" spans="1:4" ht="26.25">
      <c r="A331" s="25">
        <v>3</v>
      </c>
      <c r="B331" s="35" t="s">
        <v>315</v>
      </c>
      <c r="C331" s="27"/>
      <c r="D331" s="36"/>
    </row>
    <row r="332" spans="1:4" ht="26.25">
      <c r="A332" s="25">
        <v>4</v>
      </c>
      <c r="B332" s="35" t="s">
        <v>316</v>
      </c>
      <c r="C332" s="27"/>
      <c r="D332" s="36"/>
    </row>
    <row r="333" spans="1:4" ht="26.25">
      <c r="A333" s="25">
        <v>5</v>
      </c>
      <c r="B333" s="35" t="s">
        <v>317</v>
      </c>
      <c r="C333" s="27"/>
      <c r="D333" s="36"/>
    </row>
    <row r="334" spans="1:4" ht="26.25">
      <c r="A334" s="25">
        <v>6</v>
      </c>
      <c r="B334" s="39" t="s">
        <v>318</v>
      </c>
      <c r="C334" s="27"/>
      <c r="D334" s="40"/>
    </row>
    <row r="335" spans="1:4" ht="26.25">
      <c r="A335" s="25">
        <v>7</v>
      </c>
      <c r="B335" s="35" t="s">
        <v>319</v>
      </c>
      <c r="C335" s="27"/>
      <c r="D335" s="36"/>
    </row>
    <row r="336" spans="1:4" ht="26.25">
      <c r="A336" s="25">
        <v>8</v>
      </c>
      <c r="B336" s="35" t="s">
        <v>320</v>
      </c>
      <c r="C336" s="27"/>
      <c r="D336" s="36"/>
    </row>
    <row r="337" spans="1:4" ht="26.25">
      <c r="A337" s="25">
        <v>9</v>
      </c>
      <c r="B337" s="35" t="s">
        <v>321</v>
      </c>
      <c r="C337" s="27"/>
      <c r="D337" s="36"/>
    </row>
    <row r="338" spans="1:4" ht="26.25">
      <c r="A338" s="25">
        <v>10</v>
      </c>
      <c r="B338" s="35" t="s">
        <v>322</v>
      </c>
      <c r="C338" s="27"/>
      <c r="D338" s="36"/>
    </row>
    <row r="339" spans="1:4" ht="26.25">
      <c r="A339" s="25">
        <v>11</v>
      </c>
      <c r="B339" s="35" t="s">
        <v>323</v>
      </c>
      <c r="C339" s="27"/>
      <c r="D339" s="36"/>
    </row>
    <row r="340" spans="1:4" ht="26.25">
      <c r="A340" s="25">
        <v>12</v>
      </c>
      <c r="B340" s="39" t="s">
        <v>324</v>
      </c>
      <c r="C340" s="27"/>
      <c r="D340" s="40"/>
    </row>
    <row r="341" spans="1:4" ht="26.25">
      <c r="A341" s="25">
        <v>13</v>
      </c>
      <c r="B341" s="39" t="s">
        <v>325</v>
      </c>
      <c r="C341" s="27"/>
      <c r="D341" s="40"/>
    </row>
    <row r="342" spans="1:4" ht="26.25">
      <c r="A342" s="25">
        <v>14</v>
      </c>
      <c r="B342" s="39" t="s">
        <v>326</v>
      </c>
      <c r="C342" s="27"/>
      <c r="D342" s="40"/>
    </row>
    <row r="343" spans="1:4" ht="37.5">
      <c r="A343" s="25">
        <v>15</v>
      </c>
      <c r="B343" s="39" t="s">
        <v>327</v>
      </c>
      <c r="C343" s="27"/>
      <c r="D343" s="51"/>
    </row>
    <row r="344" spans="1:4" ht="26.25">
      <c r="A344" s="25">
        <v>16</v>
      </c>
      <c r="B344" s="39" t="s">
        <v>328</v>
      </c>
      <c r="C344" s="27"/>
      <c r="D344" s="40"/>
    </row>
    <row r="345" spans="1:4" ht="26.25">
      <c r="A345" s="25">
        <v>17</v>
      </c>
      <c r="B345" s="39" t="s">
        <v>329</v>
      </c>
      <c r="C345" s="27"/>
      <c r="D345" s="40"/>
    </row>
    <row r="346" spans="1:4" ht="37.5">
      <c r="A346" s="25">
        <v>18</v>
      </c>
      <c r="B346" s="35" t="s">
        <v>330</v>
      </c>
      <c r="C346" s="27"/>
      <c r="D346" s="36"/>
    </row>
    <row r="347" spans="1:4" ht="26.25">
      <c r="A347" s="25">
        <v>19</v>
      </c>
      <c r="B347" s="35" t="s">
        <v>331</v>
      </c>
      <c r="C347" s="27"/>
      <c r="D347" s="36"/>
    </row>
    <row r="348" spans="1:4" ht="26.25">
      <c r="A348" s="63" t="s">
        <v>332</v>
      </c>
      <c r="B348" s="64"/>
      <c r="C348" s="64"/>
      <c r="D348" s="65"/>
    </row>
    <row r="349" spans="1:4" ht="26.25">
      <c r="A349" s="25">
        <v>20</v>
      </c>
      <c r="B349" s="35" t="s">
        <v>333</v>
      </c>
      <c r="C349" s="27"/>
      <c r="D349" s="36"/>
    </row>
    <row r="350" spans="1:4" ht="26.25">
      <c r="A350" s="25">
        <v>21</v>
      </c>
      <c r="B350" s="35" t="s">
        <v>334</v>
      </c>
      <c r="C350" s="27"/>
      <c r="D350" s="36"/>
    </row>
    <row r="351" spans="1:4" ht="26.25">
      <c r="A351" s="25">
        <v>22</v>
      </c>
      <c r="B351" s="35" t="s">
        <v>335</v>
      </c>
      <c r="C351" s="27"/>
      <c r="D351" s="36"/>
    </row>
    <row r="352" spans="1:4" ht="26.25">
      <c r="A352" s="25">
        <v>23</v>
      </c>
      <c r="B352" s="35" t="s">
        <v>336</v>
      </c>
      <c r="C352" s="27"/>
      <c r="D352" s="36"/>
    </row>
    <row r="353" spans="1:4" ht="26.25">
      <c r="A353" s="25">
        <v>24</v>
      </c>
      <c r="B353" s="35" t="s">
        <v>337</v>
      </c>
      <c r="C353" s="27"/>
      <c r="D353" s="36"/>
    </row>
    <row r="354" spans="1:4" ht="26.25">
      <c r="A354" s="25">
        <v>25</v>
      </c>
      <c r="B354" s="35" t="s">
        <v>338</v>
      </c>
      <c r="C354" s="27"/>
      <c r="D354" s="36"/>
    </row>
    <row r="355" spans="1:4" ht="26.25">
      <c r="A355" s="25">
        <v>26</v>
      </c>
      <c r="B355" s="35" t="s">
        <v>339</v>
      </c>
      <c r="C355" s="27"/>
      <c r="D355" s="36"/>
    </row>
    <row r="356" spans="1:4" ht="26.25">
      <c r="A356" s="25">
        <v>27</v>
      </c>
      <c r="B356" s="35" t="s">
        <v>340</v>
      </c>
      <c r="C356" s="27"/>
      <c r="D356" s="36"/>
    </row>
    <row r="357" spans="1:4" ht="26.25">
      <c r="A357" s="25">
        <v>28</v>
      </c>
      <c r="B357" s="39" t="s">
        <v>341</v>
      </c>
      <c r="C357" s="27"/>
      <c r="D357" s="40"/>
    </row>
    <row r="358" spans="1:4" ht="26.25">
      <c r="A358" s="25">
        <v>29</v>
      </c>
      <c r="B358" s="35" t="s">
        <v>342</v>
      </c>
      <c r="C358" s="27"/>
      <c r="D358" s="36"/>
    </row>
    <row r="359" spans="1:4" ht="26.25">
      <c r="A359" s="25">
        <v>30</v>
      </c>
      <c r="B359" s="35" t="s">
        <v>343</v>
      </c>
      <c r="C359" s="27"/>
      <c r="D359" s="36"/>
    </row>
    <row r="360" spans="1:4" ht="26.25">
      <c r="A360" s="25">
        <v>31</v>
      </c>
      <c r="B360" s="35" t="s">
        <v>344</v>
      </c>
      <c r="C360" s="27"/>
      <c r="D360" s="36"/>
    </row>
    <row r="361" spans="1:4" ht="26.25">
      <c r="A361" s="25">
        <v>32</v>
      </c>
      <c r="B361" s="35" t="s">
        <v>345</v>
      </c>
      <c r="C361" s="27"/>
      <c r="D361" s="36"/>
    </row>
    <row r="362" spans="1:4" ht="26.25">
      <c r="A362" s="25">
        <v>33</v>
      </c>
      <c r="B362" s="35" t="s">
        <v>346</v>
      </c>
      <c r="C362" s="27"/>
      <c r="D362" s="36"/>
    </row>
    <row r="363" spans="1:4" ht="26.25">
      <c r="A363" s="25">
        <v>34</v>
      </c>
      <c r="B363" s="35" t="s">
        <v>347</v>
      </c>
      <c r="C363" s="27"/>
      <c r="D363" s="36"/>
    </row>
    <row r="364" spans="1:4" ht="26.25">
      <c r="A364" s="25">
        <v>35</v>
      </c>
      <c r="B364" s="35" t="s">
        <v>348</v>
      </c>
      <c r="C364" s="27"/>
      <c r="D364" s="36"/>
    </row>
    <row r="365" spans="1:4" ht="26.25">
      <c r="A365" s="25">
        <v>36</v>
      </c>
      <c r="B365" s="35" t="s">
        <v>349</v>
      </c>
      <c r="C365" s="27"/>
      <c r="D365" s="36"/>
    </row>
    <row r="366" spans="1:4" ht="26.25">
      <c r="A366" s="25">
        <v>37</v>
      </c>
      <c r="B366" s="35" t="s">
        <v>350</v>
      </c>
      <c r="C366" s="27"/>
      <c r="D366" s="36"/>
    </row>
    <row r="367" spans="1:4" ht="26.25">
      <c r="A367" s="25">
        <v>38</v>
      </c>
      <c r="B367" s="35" t="s">
        <v>351</v>
      </c>
      <c r="C367" s="27"/>
      <c r="D367" s="36"/>
    </row>
    <row r="368" spans="1:4" ht="26.25">
      <c r="A368" s="25">
        <v>39</v>
      </c>
      <c r="B368" s="35" t="s">
        <v>352</v>
      </c>
      <c r="C368" s="27"/>
      <c r="D368" s="36"/>
    </row>
    <row r="369" spans="1:4" ht="37.5">
      <c r="A369" s="25">
        <v>40</v>
      </c>
      <c r="B369" s="35" t="s">
        <v>353</v>
      </c>
      <c r="C369" s="27"/>
      <c r="D369" s="36"/>
    </row>
    <row r="370" spans="1:4" ht="26.25">
      <c r="A370" s="63" t="s">
        <v>354</v>
      </c>
      <c r="B370" s="64"/>
      <c r="C370" s="64"/>
      <c r="D370" s="65"/>
    </row>
    <row r="371" spans="1:4" ht="187.5">
      <c r="A371" s="25">
        <v>41</v>
      </c>
      <c r="B371" s="37" t="s">
        <v>355</v>
      </c>
      <c r="C371" s="27"/>
      <c r="D371" s="38"/>
    </row>
    <row r="372" spans="1:4" ht="26.25">
      <c r="A372" s="81" t="s">
        <v>72</v>
      </c>
      <c r="B372" s="82"/>
      <c r="C372" s="82"/>
      <c r="D372" s="29" t="str">
        <f>IF(COUNT(C329:C371)=0,"N/A",SUM((C329:C371))/(COUNT((C329:C371))*2))</f>
        <v>N/A</v>
      </c>
    </row>
    <row r="373" spans="1:4" ht="26.25">
      <c r="A373" s="84" t="s">
        <v>356</v>
      </c>
      <c r="B373" s="85"/>
      <c r="C373" s="85"/>
      <c r="D373" s="86"/>
    </row>
    <row r="374" spans="1:4" ht="26.25">
      <c r="A374" s="63" t="s">
        <v>357</v>
      </c>
      <c r="B374" s="64"/>
      <c r="C374" s="64"/>
      <c r="D374" s="65"/>
    </row>
    <row r="375" spans="1:4" ht="26.25">
      <c r="A375" s="25">
        <v>1</v>
      </c>
      <c r="B375" s="35" t="s">
        <v>358</v>
      </c>
      <c r="C375" s="27"/>
      <c r="D375" s="36"/>
    </row>
    <row r="376" spans="1:4" ht="26.25">
      <c r="A376" s="25">
        <v>2</v>
      </c>
      <c r="B376" s="35" t="s">
        <v>359</v>
      </c>
      <c r="C376" s="27"/>
      <c r="D376" s="36"/>
    </row>
    <row r="377" spans="1:4" ht="26.25">
      <c r="A377" s="25">
        <v>3</v>
      </c>
      <c r="B377" s="35" t="s">
        <v>360</v>
      </c>
      <c r="C377" s="27"/>
      <c r="D377" s="36"/>
    </row>
    <row r="378" spans="1:4" ht="26.25">
      <c r="A378" s="25">
        <v>4</v>
      </c>
      <c r="B378" s="35" t="s">
        <v>361</v>
      </c>
      <c r="C378" s="27"/>
      <c r="D378" s="36"/>
    </row>
    <row r="379" spans="1:4" ht="26.25">
      <c r="A379" s="25">
        <v>5</v>
      </c>
      <c r="B379" s="35" t="s">
        <v>362</v>
      </c>
      <c r="C379" s="27"/>
      <c r="D379" s="36"/>
    </row>
    <row r="380" spans="1:4" ht="26.25">
      <c r="A380" s="25">
        <v>6</v>
      </c>
      <c r="B380" s="35" t="s">
        <v>363</v>
      </c>
      <c r="C380" s="27"/>
      <c r="D380" s="36"/>
    </row>
    <row r="381" spans="1:4" ht="26.25">
      <c r="A381" s="25">
        <v>7</v>
      </c>
      <c r="B381" s="35" t="s">
        <v>364</v>
      </c>
      <c r="C381" s="27"/>
      <c r="D381" s="36"/>
    </row>
    <row r="382" spans="1:4" ht="26.25">
      <c r="A382" s="25">
        <v>8</v>
      </c>
      <c r="B382" s="35" t="s">
        <v>365</v>
      </c>
      <c r="C382" s="27"/>
      <c r="D382" s="36"/>
    </row>
    <row r="383" spans="1:4" ht="26.25">
      <c r="A383" s="25">
        <v>9</v>
      </c>
      <c r="B383" s="35" t="s">
        <v>366</v>
      </c>
      <c r="C383" s="27"/>
      <c r="D383" s="36"/>
    </row>
    <row r="384" spans="1:4" ht="26.25">
      <c r="A384" s="25">
        <v>10</v>
      </c>
      <c r="B384" s="35" t="s">
        <v>367</v>
      </c>
      <c r="C384" s="27"/>
      <c r="D384" s="36"/>
    </row>
    <row r="385" spans="1:4" ht="26.25">
      <c r="A385" s="25">
        <v>11</v>
      </c>
      <c r="B385" s="35" t="s">
        <v>368</v>
      </c>
      <c r="C385" s="27"/>
      <c r="D385" s="36"/>
    </row>
    <row r="386" spans="1:4" ht="26.25">
      <c r="A386" s="25">
        <v>12</v>
      </c>
      <c r="B386" s="35" t="s">
        <v>369</v>
      </c>
      <c r="C386" s="27"/>
      <c r="D386" s="36"/>
    </row>
    <row r="387" spans="1:4" ht="26.25">
      <c r="A387" s="25">
        <v>13</v>
      </c>
      <c r="B387" s="35" t="s">
        <v>370</v>
      </c>
      <c r="C387" s="27"/>
      <c r="D387" s="36"/>
    </row>
    <row r="388" spans="1:4" ht="26.25">
      <c r="A388" s="25">
        <v>14</v>
      </c>
      <c r="B388" s="35" t="s">
        <v>371</v>
      </c>
      <c r="C388" s="27"/>
      <c r="D388" s="36"/>
    </row>
    <row r="389" spans="1:4" ht="26.25">
      <c r="A389" s="25">
        <v>15</v>
      </c>
      <c r="B389" s="35" t="s">
        <v>372</v>
      </c>
      <c r="C389" s="27"/>
      <c r="D389" s="36"/>
    </row>
    <row r="390" spans="1:4" ht="75">
      <c r="A390" s="25">
        <v>16</v>
      </c>
      <c r="B390" s="35" t="s">
        <v>373</v>
      </c>
      <c r="C390" s="27"/>
      <c r="D390" s="36"/>
    </row>
    <row r="391" spans="1:4" ht="93.75">
      <c r="A391" s="25">
        <v>17</v>
      </c>
      <c r="B391" s="35" t="s">
        <v>374</v>
      </c>
      <c r="C391" s="27"/>
      <c r="D391" s="36"/>
    </row>
    <row r="392" spans="1:4" ht="112.5">
      <c r="A392" s="25">
        <v>18</v>
      </c>
      <c r="B392" s="35" t="s">
        <v>375</v>
      </c>
      <c r="C392" s="27"/>
      <c r="D392" s="36"/>
    </row>
    <row r="393" spans="1:4" ht="26.25">
      <c r="A393" s="25">
        <v>19</v>
      </c>
      <c r="B393" s="45" t="s">
        <v>376</v>
      </c>
      <c r="C393" s="27"/>
      <c r="D393" s="46"/>
    </row>
    <row r="394" spans="1:4" ht="112.5">
      <c r="A394" s="25">
        <v>20</v>
      </c>
      <c r="B394" s="35" t="s">
        <v>377</v>
      </c>
      <c r="C394" s="27"/>
      <c r="D394" s="36"/>
    </row>
    <row r="395" spans="1:4" ht="26.25">
      <c r="A395" s="63" t="s">
        <v>378</v>
      </c>
      <c r="B395" s="64"/>
      <c r="C395" s="64"/>
      <c r="D395" s="65"/>
    </row>
    <row r="396" spans="1:4" ht="225">
      <c r="A396" s="25">
        <v>21</v>
      </c>
      <c r="B396" s="35" t="s">
        <v>379</v>
      </c>
      <c r="C396" s="27"/>
      <c r="D396" s="36"/>
    </row>
    <row r="397" spans="1:4" ht="26.25">
      <c r="A397" s="63" t="s">
        <v>380</v>
      </c>
      <c r="B397" s="64"/>
      <c r="C397" s="64"/>
      <c r="D397" s="65"/>
    </row>
    <row r="398" spans="1:4" ht="75">
      <c r="A398" s="25">
        <v>22</v>
      </c>
      <c r="B398" s="39" t="s">
        <v>381</v>
      </c>
      <c r="C398" s="27"/>
      <c r="D398" s="40"/>
    </row>
    <row r="399" spans="1:4" ht="26.25">
      <c r="A399" s="25">
        <v>23</v>
      </c>
      <c r="B399" s="35" t="s">
        <v>382</v>
      </c>
      <c r="C399" s="27"/>
      <c r="D399" s="36"/>
    </row>
    <row r="400" spans="1:4" ht="26.25">
      <c r="A400" s="25">
        <v>24</v>
      </c>
      <c r="B400" s="35" t="s">
        <v>383</v>
      </c>
      <c r="C400" s="27"/>
      <c r="D400" s="36"/>
    </row>
    <row r="401" spans="1:4" ht="26.25">
      <c r="A401" s="25">
        <v>25</v>
      </c>
      <c r="B401" s="35" t="s">
        <v>384</v>
      </c>
      <c r="C401" s="27"/>
      <c r="D401" s="36"/>
    </row>
    <row r="402" spans="1:4" ht="26.25">
      <c r="A402" s="25">
        <v>26</v>
      </c>
      <c r="B402" s="35" t="s">
        <v>385</v>
      </c>
      <c r="C402" s="27"/>
      <c r="D402" s="36"/>
    </row>
    <row r="403" spans="1:4" ht="26.25">
      <c r="A403" s="63" t="s">
        <v>386</v>
      </c>
      <c r="B403" s="64"/>
      <c r="C403" s="64"/>
      <c r="D403" s="65"/>
    </row>
    <row r="404" spans="1:4" ht="37.5">
      <c r="A404" s="25">
        <v>27</v>
      </c>
      <c r="B404" s="35" t="s">
        <v>387</v>
      </c>
      <c r="C404" s="27"/>
      <c r="D404" s="36"/>
    </row>
    <row r="405" spans="1:4" ht="26.25">
      <c r="A405" s="25">
        <v>28</v>
      </c>
      <c r="B405" s="35" t="s">
        <v>388</v>
      </c>
      <c r="C405" s="27"/>
      <c r="D405" s="36"/>
    </row>
    <row r="406" spans="1:4" ht="26.25">
      <c r="A406" s="63" t="s">
        <v>389</v>
      </c>
      <c r="B406" s="64"/>
      <c r="C406" s="64"/>
      <c r="D406" s="65"/>
    </row>
    <row r="407" spans="1:4" ht="409.5">
      <c r="A407" s="25">
        <v>29</v>
      </c>
      <c r="B407" s="37" t="s">
        <v>390</v>
      </c>
      <c r="C407" s="27"/>
      <c r="D407" s="38"/>
    </row>
    <row r="408" spans="1:4" ht="26.25">
      <c r="A408" s="63" t="s">
        <v>391</v>
      </c>
      <c r="B408" s="64"/>
      <c r="C408" s="64"/>
      <c r="D408" s="65"/>
    </row>
    <row r="409" spans="1:4" ht="75">
      <c r="A409" s="25">
        <v>30</v>
      </c>
      <c r="B409" s="35" t="s">
        <v>392</v>
      </c>
      <c r="C409" s="27"/>
      <c r="D409" s="36"/>
    </row>
    <row r="410" spans="1:4" ht="26.25">
      <c r="A410" s="63" t="s">
        <v>393</v>
      </c>
      <c r="B410" s="64"/>
      <c r="C410" s="64"/>
      <c r="D410" s="65"/>
    </row>
    <row r="411" spans="1:4" ht="93.75">
      <c r="A411" s="25">
        <v>31</v>
      </c>
      <c r="B411" s="35" t="s">
        <v>394</v>
      </c>
      <c r="C411" s="27"/>
      <c r="D411" s="36"/>
    </row>
    <row r="412" spans="1:4" ht="37.5">
      <c r="A412" s="25">
        <v>32</v>
      </c>
      <c r="B412" s="35" t="s">
        <v>395</v>
      </c>
      <c r="C412" s="27"/>
      <c r="D412" s="36"/>
    </row>
    <row r="413" spans="1:4" ht="26.25">
      <c r="A413" s="25">
        <v>33</v>
      </c>
      <c r="B413" s="35" t="s">
        <v>396</v>
      </c>
      <c r="C413" s="27"/>
      <c r="D413" s="36"/>
    </row>
    <row r="414" spans="1:4" ht="26.25">
      <c r="A414" s="81" t="s">
        <v>397</v>
      </c>
      <c r="B414" s="82"/>
      <c r="C414" s="82"/>
      <c r="D414" s="29" t="str">
        <f>IF(COUNT(C375:C413)=0,"N/A",SUM((C375:C413))/(COUNT((C375:C413))*2))</f>
        <v>N/A</v>
      </c>
    </row>
    <row r="415" spans="1:4" ht="26.25">
      <c r="A415" s="84" t="s">
        <v>398</v>
      </c>
      <c r="B415" s="85"/>
      <c r="C415" s="85"/>
      <c r="D415" s="86"/>
    </row>
    <row r="416" spans="1:4" ht="26.25">
      <c r="A416" s="63" t="s">
        <v>399</v>
      </c>
      <c r="B416" s="64"/>
      <c r="C416" s="64"/>
      <c r="D416" s="65"/>
    </row>
    <row r="417" spans="1:4" ht="37.5">
      <c r="A417" s="25">
        <v>1</v>
      </c>
      <c r="B417" s="35" t="s">
        <v>400</v>
      </c>
      <c r="C417" s="27"/>
      <c r="D417" s="36"/>
    </row>
    <row r="418" spans="1:4" ht="56.25">
      <c r="A418" s="25">
        <v>2</v>
      </c>
      <c r="B418" s="35" t="s">
        <v>401</v>
      </c>
      <c r="C418" s="27"/>
      <c r="D418" s="36"/>
    </row>
    <row r="419" spans="1:4" ht="56.25">
      <c r="A419" s="25">
        <v>3</v>
      </c>
      <c r="B419" s="35" t="s">
        <v>402</v>
      </c>
      <c r="C419" s="27"/>
      <c r="D419" s="36"/>
    </row>
    <row r="420" spans="1:4" ht="56.25">
      <c r="A420" s="25">
        <v>4</v>
      </c>
      <c r="B420" s="35" t="s">
        <v>403</v>
      </c>
      <c r="C420" s="27"/>
      <c r="D420" s="36"/>
    </row>
    <row r="421" spans="1:4" ht="26.25">
      <c r="A421" s="25">
        <v>5</v>
      </c>
      <c r="B421" s="35" t="s">
        <v>404</v>
      </c>
      <c r="C421" s="27"/>
      <c r="D421" s="36"/>
    </row>
    <row r="422" spans="1:4" ht="26.25">
      <c r="A422" s="25">
        <v>6</v>
      </c>
      <c r="B422" s="35" t="s">
        <v>405</v>
      </c>
      <c r="C422" s="27"/>
      <c r="D422" s="36"/>
    </row>
    <row r="423" spans="1:4" ht="26.25">
      <c r="A423" s="25">
        <v>7</v>
      </c>
      <c r="B423" s="35" t="s">
        <v>406</v>
      </c>
      <c r="C423" s="27"/>
      <c r="D423" s="36"/>
    </row>
    <row r="424" spans="1:4" ht="26.25">
      <c r="A424" s="25">
        <v>8</v>
      </c>
      <c r="B424" s="35" t="s">
        <v>407</v>
      </c>
      <c r="C424" s="27"/>
      <c r="D424" s="36"/>
    </row>
    <row r="425" spans="1:4" ht="37.5">
      <c r="A425" s="25">
        <v>9</v>
      </c>
      <c r="B425" s="35" t="s">
        <v>408</v>
      </c>
      <c r="C425" s="27"/>
      <c r="D425" s="36"/>
    </row>
    <row r="426" spans="1:4" ht="26.25">
      <c r="A426" s="25">
        <v>10</v>
      </c>
      <c r="B426" s="35" t="s">
        <v>409</v>
      </c>
      <c r="C426" s="27"/>
      <c r="D426" s="36"/>
    </row>
    <row r="427" spans="1:4" ht="75">
      <c r="A427" s="25">
        <v>11</v>
      </c>
      <c r="B427" s="35" t="s">
        <v>410</v>
      </c>
      <c r="C427" s="27"/>
      <c r="D427" s="36"/>
    </row>
    <row r="428" spans="1:4" ht="26.25">
      <c r="A428" s="25">
        <v>12</v>
      </c>
      <c r="B428" s="35" t="s">
        <v>297</v>
      </c>
      <c r="C428" s="27"/>
      <c r="D428" s="36"/>
    </row>
    <row r="429" spans="1:4" ht="26.25">
      <c r="A429" s="63" t="s">
        <v>144</v>
      </c>
      <c r="B429" s="64"/>
      <c r="C429" s="64"/>
      <c r="D429" s="65"/>
    </row>
    <row r="430" spans="1:4" ht="168.75">
      <c r="A430" s="25">
        <v>13</v>
      </c>
      <c r="B430" s="37" t="s">
        <v>411</v>
      </c>
      <c r="C430" s="27"/>
      <c r="D430" s="36"/>
    </row>
    <row r="431" spans="1:4" ht="26.25">
      <c r="A431" s="81" t="s">
        <v>412</v>
      </c>
      <c r="B431" s="82"/>
      <c r="C431" s="82"/>
      <c r="D431" s="29" t="str">
        <f>IF(COUNT(C417:C430)=0,"N/A",SUM((C417:C430))/(COUNT((C417:C430))*2))</f>
        <v>N/A</v>
      </c>
    </row>
    <row r="432" spans="1:4" ht="26.25">
      <c r="A432" s="84" t="s">
        <v>413</v>
      </c>
      <c r="B432" s="85"/>
      <c r="C432" s="85"/>
      <c r="D432" s="86"/>
    </row>
    <row r="433" spans="1:4" ht="26.25">
      <c r="A433" s="63" t="s">
        <v>399</v>
      </c>
      <c r="B433" s="64"/>
      <c r="C433" s="64"/>
      <c r="D433" s="65"/>
    </row>
    <row r="434" spans="1:4" ht="26.25">
      <c r="A434" s="25">
        <v>1</v>
      </c>
      <c r="B434" s="35" t="s">
        <v>414</v>
      </c>
      <c r="C434" s="27"/>
      <c r="D434" s="52"/>
    </row>
    <row r="435" spans="1:4" ht="26.25">
      <c r="A435" s="25">
        <v>2</v>
      </c>
      <c r="B435" s="35" t="s">
        <v>415</v>
      </c>
      <c r="C435" s="27"/>
      <c r="D435" s="52"/>
    </row>
    <row r="436" spans="1:4" ht="26.25">
      <c r="A436" s="25">
        <v>3</v>
      </c>
      <c r="B436" s="35" t="s">
        <v>416</v>
      </c>
      <c r="C436" s="27"/>
      <c r="D436" s="52"/>
    </row>
    <row r="437" spans="1:4" ht="26.25">
      <c r="A437" s="25">
        <v>4</v>
      </c>
      <c r="B437" s="35" t="s">
        <v>417</v>
      </c>
      <c r="C437" s="27"/>
      <c r="D437" s="52"/>
    </row>
    <row r="438" spans="1:4" ht="26.25">
      <c r="A438" s="25">
        <v>5</v>
      </c>
      <c r="B438" s="35" t="s">
        <v>418</v>
      </c>
      <c r="C438" s="27"/>
      <c r="D438" s="52"/>
    </row>
    <row r="439" spans="1:4" ht="26.25">
      <c r="A439" s="25">
        <v>6</v>
      </c>
      <c r="B439" s="35" t="s">
        <v>419</v>
      </c>
      <c r="C439" s="27"/>
      <c r="D439" s="52"/>
    </row>
    <row r="440" spans="1:4" ht="26.25">
      <c r="A440" s="25">
        <v>7</v>
      </c>
      <c r="B440" s="35" t="s">
        <v>420</v>
      </c>
      <c r="C440" s="27"/>
      <c r="D440" s="52"/>
    </row>
    <row r="441" spans="1:4" ht="26.25">
      <c r="A441" s="25">
        <v>8</v>
      </c>
      <c r="B441" s="35" t="s">
        <v>421</v>
      </c>
      <c r="C441" s="27"/>
      <c r="D441" s="52"/>
    </row>
    <row r="442" spans="1:4" ht="26.25">
      <c r="A442" s="25">
        <v>9</v>
      </c>
      <c r="B442" s="35" t="s">
        <v>422</v>
      </c>
      <c r="C442" s="27"/>
      <c r="D442" s="52"/>
    </row>
    <row r="443" spans="1:4" ht="26.25">
      <c r="A443" s="25">
        <v>10</v>
      </c>
      <c r="B443" s="35" t="s">
        <v>423</v>
      </c>
      <c r="C443" s="27"/>
      <c r="D443" s="36"/>
    </row>
    <row r="444" spans="1:4" ht="26.25">
      <c r="A444" s="25">
        <v>11</v>
      </c>
      <c r="B444" s="35" t="s">
        <v>424</v>
      </c>
      <c r="C444" s="27"/>
      <c r="D444" s="52"/>
    </row>
    <row r="445" spans="1:4" ht="37.5">
      <c r="A445" s="25">
        <v>12</v>
      </c>
      <c r="B445" s="35" t="s">
        <v>425</v>
      </c>
      <c r="C445" s="27"/>
      <c r="D445" s="36"/>
    </row>
    <row r="446" spans="1:4" ht="26.25">
      <c r="A446" s="25">
        <v>13</v>
      </c>
      <c r="B446" s="35" t="s">
        <v>426</v>
      </c>
      <c r="C446" s="27"/>
      <c r="D446" s="36"/>
    </row>
    <row r="447" spans="1:4" ht="26.25">
      <c r="A447" s="63" t="s">
        <v>427</v>
      </c>
      <c r="B447" s="64"/>
      <c r="C447" s="64"/>
      <c r="D447" s="65"/>
    </row>
    <row r="448" spans="1:4" ht="26.25">
      <c r="A448" s="25">
        <v>14</v>
      </c>
      <c r="B448" s="35" t="s">
        <v>428</v>
      </c>
      <c r="C448" s="27"/>
      <c r="D448" s="36"/>
    </row>
    <row r="449" spans="1:4" ht="26.25">
      <c r="A449" s="25">
        <v>15</v>
      </c>
      <c r="B449" s="35" t="s">
        <v>429</v>
      </c>
      <c r="C449" s="27"/>
      <c r="D449" s="36"/>
    </row>
    <row r="450" spans="1:4" ht="26.25">
      <c r="A450" s="25">
        <v>16</v>
      </c>
      <c r="B450" s="35" t="s">
        <v>430</v>
      </c>
      <c r="C450" s="27"/>
      <c r="D450" s="36"/>
    </row>
    <row r="451" spans="1:4" ht="26.25">
      <c r="A451" s="63" t="s">
        <v>144</v>
      </c>
      <c r="B451" s="64"/>
      <c r="C451" s="64"/>
      <c r="D451" s="65"/>
    </row>
    <row r="452" spans="1:4" ht="131.25">
      <c r="A452" s="25">
        <v>17</v>
      </c>
      <c r="B452" s="37" t="s">
        <v>431</v>
      </c>
      <c r="C452" s="27"/>
      <c r="D452" s="36"/>
    </row>
    <row r="453" spans="1:4" ht="26.25">
      <c r="A453" s="81" t="s">
        <v>72</v>
      </c>
      <c r="B453" s="82"/>
      <c r="C453" s="82"/>
      <c r="D453" s="29" t="str">
        <f>IF(COUNT(C434:C452)=0,"N/A",SUM((C434:C452))/(COUNT((C434:C452))*2))</f>
        <v>N/A</v>
      </c>
    </row>
    <row r="454" spans="1:4" ht="26.25">
      <c r="A454" s="84" t="s">
        <v>432</v>
      </c>
      <c r="B454" s="85"/>
      <c r="C454" s="85"/>
      <c r="D454" s="86"/>
    </row>
    <row r="455" spans="1:4" ht="26.25">
      <c r="A455" s="25">
        <v>1</v>
      </c>
      <c r="B455" s="35" t="s">
        <v>433</v>
      </c>
      <c r="C455" s="27"/>
      <c r="D455" s="36"/>
    </row>
    <row r="456" spans="1:4" ht="26.25">
      <c r="A456" s="25">
        <v>2</v>
      </c>
      <c r="B456" s="35" t="s">
        <v>434</v>
      </c>
      <c r="C456" s="27"/>
      <c r="D456" s="36"/>
    </row>
    <row r="457" spans="1:4" ht="56.25">
      <c r="A457" s="25">
        <v>3</v>
      </c>
      <c r="B457" s="35" t="s">
        <v>435</v>
      </c>
      <c r="C457" s="27"/>
      <c r="D457" s="36"/>
    </row>
    <row r="458" spans="1:4" ht="37.5">
      <c r="A458" s="25">
        <v>4</v>
      </c>
      <c r="B458" s="35" t="s">
        <v>436</v>
      </c>
      <c r="C458" s="27"/>
      <c r="D458" s="36"/>
    </row>
    <row r="459" spans="1:4" ht="26.25">
      <c r="A459" s="25">
        <v>5</v>
      </c>
      <c r="B459" s="35" t="s">
        <v>437</v>
      </c>
      <c r="C459" s="27"/>
      <c r="D459" s="36"/>
    </row>
    <row r="460" spans="1:4" ht="37.5">
      <c r="A460" s="25">
        <v>6</v>
      </c>
      <c r="B460" s="35" t="s">
        <v>438</v>
      </c>
      <c r="C460" s="27"/>
      <c r="D460" s="36"/>
    </row>
    <row r="461" spans="1:4" ht="26.25">
      <c r="A461" s="25">
        <v>7</v>
      </c>
      <c r="B461" s="35" t="s">
        <v>439</v>
      </c>
      <c r="C461" s="27"/>
      <c r="D461" s="36"/>
    </row>
    <row r="462" spans="1:4" ht="26.25">
      <c r="A462" s="25">
        <v>8</v>
      </c>
      <c r="B462" s="35" t="s">
        <v>440</v>
      </c>
      <c r="C462" s="27"/>
      <c r="D462" s="36"/>
    </row>
    <row r="463" spans="1:4" ht="26.25">
      <c r="A463" s="25">
        <v>9</v>
      </c>
      <c r="B463" s="35" t="s">
        <v>441</v>
      </c>
      <c r="C463" s="27"/>
      <c r="D463" s="36"/>
    </row>
    <row r="464" spans="1:4" ht="26.25">
      <c r="A464" s="25">
        <v>10</v>
      </c>
      <c r="B464" s="35" t="s">
        <v>442</v>
      </c>
      <c r="C464" s="27"/>
      <c r="D464" s="36"/>
    </row>
    <row r="465" spans="1:4" ht="37.5">
      <c r="A465" s="25">
        <v>11</v>
      </c>
      <c r="B465" s="35" t="s">
        <v>443</v>
      </c>
      <c r="C465" s="27"/>
      <c r="D465" s="36"/>
    </row>
    <row r="466" spans="1:4" ht="37.5">
      <c r="A466" s="25">
        <v>12</v>
      </c>
      <c r="B466" s="35" t="s">
        <v>444</v>
      </c>
      <c r="C466" s="27"/>
      <c r="D466" s="36"/>
    </row>
    <row r="467" spans="1:4" ht="26.25">
      <c r="A467" s="25">
        <v>13</v>
      </c>
      <c r="B467" s="35" t="s">
        <v>445</v>
      </c>
      <c r="C467" s="27"/>
      <c r="D467" s="36"/>
    </row>
    <row r="468" spans="1:4" ht="26.25">
      <c r="A468" s="25">
        <v>14</v>
      </c>
      <c r="B468" s="35" t="s">
        <v>446</v>
      </c>
      <c r="C468" s="27"/>
      <c r="D468" s="36"/>
    </row>
    <row r="469" spans="1:4" ht="37.5">
      <c r="A469" s="25">
        <v>15</v>
      </c>
      <c r="B469" s="35" t="s">
        <v>447</v>
      </c>
      <c r="C469" s="27"/>
      <c r="D469" s="36"/>
    </row>
    <row r="470" spans="1:4" ht="187.5">
      <c r="A470" s="25">
        <v>16</v>
      </c>
      <c r="B470" s="35" t="s">
        <v>448</v>
      </c>
      <c r="C470" s="27"/>
      <c r="D470" s="36"/>
    </row>
    <row r="471" spans="1:4" ht="75">
      <c r="A471" s="25">
        <v>17</v>
      </c>
      <c r="B471" s="35" t="s">
        <v>449</v>
      </c>
      <c r="C471" s="27"/>
      <c r="D471" s="36"/>
    </row>
    <row r="472" spans="1:4" ht="26.25">
      <c r="A472" s="25">
        <v>18</v>
      </c>
      <c r="B472" s="35" t="s">
        <v>450</v>
      </c>
      <c r="C472" s="27"/>
      <c r="D472" s="36"/>
    </row>
    <row r="473" spans="1:4" ht="26.25">
      <c r="A473" s="25">
        <v>19</v>
      </c>
      <c r="B473" s="35" t="s">
        <v>451</v>
      </c>
      <c r="C473" s="27"/>
      <c r="D473" s="36"/>
    </row>
    <row r="474" spans="1:4" ht="26.25">
      <c r="A474" s="25">
        <v>20</v>
      </c>
      <c r="B474" s="35" t="s">
        <v>452</v>
      </c>
      <c r="C474" s="27"/>
      <c r="D474" s="36"/>
    </row>
    <row r="475" spans="1:4" ht="26.25">
      <c r="A475" s="25">
        <v>21</v>
      </c>
      <c r="B475" s="35" t="s">
        <v>453</v>
      </c>
      <c r="C475" s="27"/>
      <c r="D475" s="36"/>
    </row>
    <row r="476" spans="1:4" ht="56.25">
      <c r="A476" s="25">
        <v>22</v>
      </c>
      <c r="B476" s="35" t="s">
        <v>454</v>
      </c>
      <c r="C476" s="27"/>
      <c r="D476" s="36"/>
    </row>
    <row r="477" spans="1:4" ht="37.5">
      <c r="A477" s="25">
        <v>23</v>
      </c>
      <c r="B477" s="35" t="s">
        <v>455</v>
      </c>
      <c r="C477" s="27"/>
      <c r="D477" s="36"/>
    </row>
    <row r="478" spans="1:4" ht="112.5">
      <c r="A478" s="25">
        <v>24</v>
      </c>
      <c r="B478" s="35" t="s">
        <v>456</v>
      </c>
      <c r="C478" s="27"/>
      <c r="D478" s="36"/>
    </row>
    <row r="479" spans="1:4" ht="26.25">
      <c r="A479" s="81" t="s">
        <v>72</v>
      </c>
      <c r="B479" s="82"/>
      <c r="C479" s="82"/>
      <c r="D479" s="29" t="str">
        <f>IF(COUNT(C455:C478)=0,"N/A",SUM((C455:C478))/(COUNT((C455:C478))*2))</f>
        <v>N/A</v>
      </c>
    </row>
    <row r="480" spans="1:4" ht="26.25">
      <c r="A480" s="84" t="s">
        <v>457</v>
      </c>
      <c r="B480" s="85"/>
      <c r="C480" s="85"/>
      <c r="D480" s="86"/>
    </row>
    <row r="481" spans="1:4" ht="26.25">
      <c r="A481" s="25">
        <v>1</v>
      </c>
      <c r="B481" s="35" t="s">
        <v>458</v>
      </c>
      <c r="C481" s="27"/>
      <c r="D481" s="36"/>
    </row>
    <row r="482" spans="1:4" ht="26.25">
      <c r="A482" s="25">
        <v>2</v>
      </c>
      <c r="B482" s="35" t="s">
        <v>459</v>
      </c>
      <c r="C482" s="27"/>
      <c r="D482" s="36"/>
    </row>
    <row r="483" spans="1:4" ht="26.25">
      <c r="A483" s="25">
        <v>3</v>
      </c>
      <c r="B483" s="35" t="s">
        <v>460</v>
      </c>
      <c r="C483" s="27"/>
      <c r="D483" s="36"/>
    </row>
    <row r="484" spans="1:4" ht="26.25">
      <c r="A484" s="25">
        <v>4</v>
      </c>
      <c r="B484" s="35" t="s">
        <v>461</v>
      </c>
      <c r="C484" s="27"/>
      <c r="D484" s="36"/>
    </row>
    <row r="485" spans="1:4" ht="26.25">
      <c r="A485" s="25">
        <v>5</v>
      </c>
      <c r="B485" s="35" t="s">
        <v>462</v>
      </c>
      <c r="C485" s="27"/>
      <c r="D485" s="36"/>
    </row>
    <row r="486" spans="1:4" ht="26.25">
      <c r="A486" s="25">
        <v>6</v>
      </c>
      <c r="B486" s="35" t="s">
        <v>463</v>
      </c>
      <c r="C486" s="27"/>
      <c r="D486" s="36"/>
    </row>
    <row r="487" spans="1:4" ht="26.25">
      <c r="A487" s="25">
        <v>7</v>
      </c>
      <c r="B487" s="35" t="s">
        <v>464</v>
      </c>
      <c r="C487" s="27"/>
      <c r="D487" s="36"/>
    </row>
    <row r="488" spans="1:4" ht="26.25">
      <c r="A488" s="25">
        <v>8</v>
      </c>
      <c r="B488" s="35" t="s">
        <v>465</v>
      </c>
      <c r="C488" s="27"/>
      <c r="D488" s="36"/>
    </row>
    <row r="489" spans="1:4" ht="26.25">
      <c r="A489" s="25">
        <v>9</v>
      </c>
      <c r="B489" s="35" t="s">
        <v>466</v>
      </c>
      <c r="C489" s="27"/>
      <c r="D489" s="36"/>
    </row>
    <row r="490" spans="1:4" ht="26.25">
      <c r="A490" s="25">
        <v>10</v>
      </c>
      <c r="B490" s="35" t="s">
        <v>467</v>
      </c>
      <c r="C490" s="27"/>
      <c r="D490" s="36"/>
    </row>
    <row r="491" spans="1:4" ht="26.25">
      <c r="A491" s="25">
        <v>11</v>
      </c>
      <c r="B491" s="35" t="s">
        <v>468</v>
      </c>
      <c r="C491" s="27"/>
      <c r="D491" s="36"/>
    </row>
    <row r="492" spans="1:4" ht="26.25">
      <c r="A492" s="25">
        <v>12</v>
      </c>
      <c r="B492" s="35" t="s">
        <v>469</v>
      </c>
      <c r="C492" s="27"/>
      <c r="D492" s="36"/>
    </row>
    <row r="493" spans="1:4" ht="26.25">
      <c r="A493" s="25">
        <v>13</v>
      </c>
      <c r="B493" s="35" t="s">
        <v>470</v>
      </c>
      <c r="C493" s="27"/>
      <c r="D493" s="36"/>
    </row>
    <row r="494" spans="1:4" ht="37.5">
      <c r="A494" s="25">
        <v>14</v>
      </c>
      <c r="B494" s="35" t="s">
        <v>471</v>
      </c>
      <c r="C494" s="27"/>
      <c r="D494" s="36"/>
    </row>
    <row r="495" spans="1:4" ht="26.25">
      <c r="A495" s="25">
        <v>15</v>
      </c>
      <c r="B495" s="35" t="s">
        <v>472</v>
      </c>
      <c r="C495" s="27"/>
      <c r="D495" s="36"/>
    </row>
    <row r="496" spans="1:4" ht="26.25">
      <c r="A496" s="25">
        <v>16</v>
      </c>
      <c r="B496" s="35" t="s">
        <v>473</v>
      </c>
      <c r="C496" s="27"/>
      <c r="D496" s="36"/>
    </row>
    <row r="497" spans="1:4" ht="26.25">
      <c r="A497" s="25">
        <v>17</v>
      </c>
      <c r="B497" s="35" t="s">
        <v>474</v>
      </c>
      <c r="C497" s="27"/>
      <c r="D497" s="36"/>
    </row>
    <row r="498" spans="1:4" ht="37.5">
      <c r="A498" s="25">
        <v>18</v>
      </c>
      <c r="B498" s="35" t="s">
        <v>475</v>
      </c>
      <c r="C498" s="27"/>
      <c r="D498" s="36"/>
    </row>
    <row r="499" spans="1:4" ht="26.25">
      <c r="A499" s="25">
        <v>19</v>
      </c>
      <c r="B499" s="35" t="s">
        <v>476</v>
      </c>
      <c r="C499" s="27"/>
      <c r="D499" s="36"/>
    </row>
    <row r="500" spans="1:4" ht="26.25">
      <c r="A500" s="25">
        <v>20</v>
      </c>
      <c r="B500" s="35" t="s">
        <v>477</v>
      </c>
      <c r="C500" s="27"/>
      <c r="D500" s="36"/>
    </row>
    <row r="501" spans="1:4" ht="26.25">
      <c r="A501" s="25">
        <v>21</v>
      </c>
      <c r="B501" s="35" t="s">
        <v>478</v>
      </c>
      <c r="C501" s="27"/>
      <c r="D501" s="36"/>
    </row>
    <row r="502" spans="1:4" ht="26.25">
      <c r="A502" s="25">
        <v>22</v>
      </c>
      <c r="B502" s="35" t="s">
        <v>479</v>
      </c>
      <c r="C502" s="27"/>
      <c r="D502" s="36"/>
    </row>
    <row r="503" spans="1:4" ht="26.25">
      <c r="A503" s="25">
        <v>23</v>
      </c>
      <c r="B503" s="35" t="s">
        <v>480</v>
      </c>
      <c r="C503" s="27"/>
      <c r="D503" s="36"/>
    </row>
    <row r="504" spans="1:4" ht="26.25">
      <c r="A504" s="25"/>
      <c r="B504" s="35" t="s">
        <v>481</v>
      </c>
      <c r="C504" s="27"/>
      <c r="D504" s="36"/>
    </row>
    <row r="505" spans="1:4" ht="26.25">
      <c r="A505" s="25">
        <v>24</v>
      </c>
      <c r="B505" s="35" t="s">
        <v>482</v>
      </c>
      <c r="C505" s="27"/>
      <c r="D505" s="36"/>
    </row>
    <row r="506" spans="1:4" ht="26.25">
      <c r="A506" s="25">
        <v>25</v>
      </c>
      <c r="B506" s="35" t="s">
        <v>483</v>
      </c>
      <c r="C506" s="27"/>
      <c r="D506" s="36"/>
    </row>
    <row r="507" spans="1:4" ht="26.25">
      <c r="A507" s="25">
        <v>26</v>
      </c>
      <c r="B507" s="35" t="s">
        <v>484</v>
      </c>
      <c r="C507" s="27"/>
      <c r="D507" s="36"/>
    </row>
    <row r="508" spans="1:4" ht="26.25">
      <c r="A508" s="25">
        <v>27</v>
      </c>
      <c r="B508" s="35" t="s">
        <v>485</v>
      </c>
      <c r="C508" s="27"/>
      <c r="D508" s="36"/>
    </row>
    <row r="509" spans="1:4" ht="26.25">
      <c r="A509" s="25">
        <v>28</v>
      </c>
      <c r="B509" s="35" t="s">
        <v>486</v>
      </c>
      <c r="C509" s="27"/>
      <c r="D509" s="36"/>
    </row>
    <row r="510" spans="1:4" ht="26.25">
      <c r="A510" s="25">
        <v>29</v>
      </c>
      <c r="B510" s="35" t="s">
        <v>487</v>
      </c>
      <c r="C510" s="27"/>
      <c r="D510" s="36"/>
    </row>
    <row r="511" spans="1:4" ht="26.25">
      <c r="A511" s="25">
        <v>30</v>
      </c>
      <c r="B511" s="35" t="s">
        <v>488</v>
      </c>
      <c r="C511" s="27"/>
      <c r="D511" s="36"/>
    </row>
    <row r="512" spans="1:4" ht="26.25">
      <c r="A512" s="25">
        <v>31</v>
      </c>
      <c r="B512" s="35" t="s">
        <v>489</v>
      </c>
      <c r="C512" s="27"/>
      <c r="D512" s="36"/>
    </row>
    <row r="513" spans="1:4" ht="26.25">
      <c r="A513" s="25">
        <v>32</v>
      </c>
      <c r="B513" s="35" t="s">
        <v>490</v>
      </c>
      <c r="C513" s="27"/>
      <c r="D513" s="36"/>
    </row>
    <row r="514" spans="1:4" ht="26.25">
      <c r="A514" s="25">
        <v>33</v>
      </c>
      <c r="B514" s="35" t="s">
        <v>491</v>
      </c>
      <c r="C514" s="27"/>
      <c r="D514" s="36"/>
    </row>
    <row r="515" spans="1:4" ht="37.5">
      <c r="A515" s="25">
        <v>34</v>
      </c>
      <c r="B515" s="35" t="s">
        <v>492</v>
      </c>
      <c r="C515" s="27"/>
      <c r="D515" s="36"/>
    </row>
    <row r="516" spans="1:4" ht="26.25">
      <c r="A516" s="25">
        <v>35</v>
      </c>
      <c r="B516" s="35" t="s">
        <v>493</v>
      </c>
      <c r="C516" s="27"/>
      <c r="D516" s="36"/>
    </row>
    <row r="517" spans="1:4" ht="26.25">
      <c r="A517" s="25">
        <v>36</v>
      </c>
      <c r="B517" s="35" t="s">
        <v>494</v>
      </c>
      <c r="C517" s="27"/>
      <c r="D517" s="36"/>
    </row>
    <row r="518" spans="1:4" ht="26.25">
      <c r="A518" s="25">
        <v>37</v>
      </c>
      <c r="B518" s="35" t="s">
        <v>495</v>
      </c>
      <c r="C518" s="27"/>
      <c r="D518" s="36"/>
    </row>
    <row r="519" spans="1:4" ht="26.25">
      <c r="A519" s="25">
        <v>38</v>
      </c>
      <c r="B519" s="35" t="s">
        <v>496</v>
      </c>
      <c r="C519" s="27"/>
      <c r="D519" s="36"/>
    </row>
    <row r="520" spans="1:4" ht="26.25">
      <c r="A520" s="25">
        <v>39</v>
      </c>
      <c r="B520" s="35" t="s">
        <v>497</v>
      </c>
      <c r="C520" s="27"/>
      <c r="D520" s="36"/>
    </row>
    <row r="521" spans="1:4" ht="26.25">
      <c r="A521" s="25">
        <v>40</v>
      </c>
      <c r="B521" s="35" t="s">
        <v>498</v>
      </c>
      <c r="C521" s="27"/>
      <c r="D521" s="36"/>
    </row>
    <row r="522" spans="1:4" ht="26.25">
      <c r="A522" s="81" t="s">
        <v>397</v>
      </c>
      <c r="B522" s="82"/>
      <c r="C522" s="82"/>
      <c r="D522" s="29" t="str">
        <f>IF(COUNT(C481:C521)=0,"N/A",SUM((C481:C521))/(COUNT((C481:C521))*2))</f>
        <v>N/A</v>
      </c>
    </row>
    <row r="523" spans="1:4" ht="26.25">
      <c r="A523" s="96" t="s">
        <v>499</v>
      </c>
      <c r="B523" s="97"/>
      <c r="C523" s="97"/>
      <c r="D523" s="98"/>
    </row>
    <row r="524" spans="1:4" ht="26.25">
      <c r="A524" s="99" t="s">
        <v>500</v>
      </c>
      <c r="B524" s="100"/>
      <c r="C524" s="100"/>
      <c r="D524" s="101"/>
    </row>
    <row r="525" spans="1:4" ht="26.25">
      <c r="A525" s="25">
        <v>1</v>
      </c>
      <c r="B525" s="35" t="s">
        <v>501</v>
      </c>
      <c r="C525" s="27"/>
      <c r="D525" s="36"/>
    </row>
    <row r="526" spans="1:4" ht="26.25">
      <c r="A526" s="25">
        <v>2</v>
      </c>
      <c r="B526" s="35" t="s">
        <v>502</v>
      </c>
      <c r="C526" s="27"/>
      <c r="D526" s="36"/>
    </row>
    <row r="527" spans="1:4" ht="26.25">
      <c r="A527" s="25">
        <v>3</v>
      </c>
      <c r="B527" s="35" t="s">
        <v>503</v>
      </c>
      <c r="C527" s="27"/>
      <c r="D527" s="36"/>
    </row>
    <row r="528" spans="1:4" ht="56.25">
      <c r="A528" s="25">
        <v>4</v>
      </c>
      <c r="B528" s="35" t="s">
        <v>504</v>
      </c>
      <c r="C528" s="27"/>
      <c r="D528" s="36"/>
    </row>
    <row r="529" spans="1:4" ht="26.25">
      <c r="A529" s="25">
        <v>5</v>
      </c>
      <c r="B529" s="35" t="s">
        <v>505</v>
      </c>
      <c r="C529" s="27"/>
      <c r="D529" s="36"/>
    </row>
    <row r="530" spans="1:4" ht="26.25">
      <c r="A530" s="25">
        <v>6</v>
      </c>
      <c r="B530" s="35" t="s">
        <v>506</v>
      </c>
      <c r="C530" s="27"/>
      <c r="D530" s="36"/>
    </row>
    <row r="531" spans="1:4" ht="26.25">
      <c r="A531" s="81" t="s">
        <v>72</v>
      </c>
      <c r="B531" s="82"/>
      <c r="C531" s="82"/>
      <c r="D531" s="29" t="str">
        <f>IF(COUNT(C525:C530)=0,"N/A",SUM((C525:C530))/(COUNT((C525:C530))*2))</f>
        <v>N/A</v>
      </c>
    </row>
    <row r="532" spans="1:4" ht="26.25">
      <c r="A532" s="84" t="s">
        <v>507</v>
      </c>
      <c r="B532" s="85"/>
      <c r="C532" s="85"/>
      <c r="D532" s="86"/>
    </row>
    <row r="533" spans="1:4" ht="26.25">
      <c r="A533" s="25">
        <v>1</v>
      </c>
      <c r="B533" s="53" t="s">
        <v>508</v>
      </c>
      <c r="C533" s="27"/>
      <c r="D533" s="54"/>
    </row>
    <row r="534" spans="1:4" ht="26.25">
      <c r="A534" s="25">
        <v>2</v>
      </c>
      <c r="B534" s="53" t="s">
        <v>509</v>
      </c>
      <c r="C534" s="27"/>
      <c r="D534" s="54"/>
    </row>
    <row r="535" spans="1:4" ht="26.25">
      <c r="A535" s="25">
        <v>3</v>
      </c>
      <c r="B535" s="53" t="s">
        <v>510</v>
      </c>
      <c r="C535" s="27"/>
      <c r="D535" s="54"/>
    </row>
    <row r="536" spans="1:4" ht="26.25">
      <c r="A536" s="25">
        <v>4</v>
      </c>
      <c r="B536" s="53" t="s">
        <v>511</v>
      </c>
      <c r="C536" s="27"/>
      <c r="D536" s="54"/>
    </row>
    <row r="537" spans="1:4" ht="26.25">
      <c r="A537" s="25">
        <v>5</v>
      </c>
      <c r="B537" s="53" t="s">
        <v>512</v>
      </c>
      <c r="C537" s="27"/>
      <c r="D537" s="54"/>
    </row>
    <row r="538" spans="1:4" ht="26.25">
      <c r="A538" s="25">
        <v>6</v>
      </c>
      <c r="B538" s="53" t="s">
        <v>513</v>
      </c>
      <c r="C538" s="27"/>
      <c r="D538" s="54"/>
    </row>
    <row r="539" spans="1:4" ht="26.25">
      <c r="A539" s="25">
        <v>7</v>
      </c>
      <c r="B539" s="53" t="s">
        <v>514</v>
      </c>
      <c r="C539" s="27"/>
      <c r="D539" s="54"/>
    </row>
    <row r="540" spans="1:4" ht="26.25">
      <c r="A540" s="81" t="s">
        <v>72</v>
      </c>
      <c r="B540" s="82"/>
      <c r="C540" s="83"/>
      <c r="D540" s="29" t="str">
        <f>IF(COUNT(C533:C539)=0,"N/A",SUM((C533:C539))/(COUNT((C533:C539))*2))</f>
        <v>N/A</v>
      </c>
    </row>
    <row r="541" spans="1:4" ht="26.25">
      <c r="A541" s="107" t="s">
        <v>515</v>
      </c>
      <c r="B541" s="108"/>
      <c r="C541" s="108"/>
      <c r="D541" s="109"/>
    </row>
    <row r="542" spans="1:4" ht="26.25">
      <c r="A542" s="96" t="s">
        <v>516</v>
      </c>
      <c r="B542" s="97"/>
      <c r="C542" s="97"/>
      <c r="D542" s="98"/>
    </row>
    <row r="543" spans="1:4" ht="26.25">
      <c r="A543" s="99" t="s">
        <v>517</v>
      </c>
      <c r="B543" s="100"/>
      <c r="C543" s="100"/>
      <c r="D543" s="101"/>
    </row>
    <row r="544" spans="1:4" ht="150">
      <c r="A544" s="25">
        <v>1</v>
      </c>
      <c r="B544" s="35" t="s">
        <v>518</v>
      </c>
      <c r="C544" s="27"/>
      <c r="D544" s="36"/>
    </row>
    <row r="545" spans="1:4" ht="112.5">
      <c r="A545" s="25">
        <v>2</v>
      </c>
      <c r="B545" s="35" t="s">
        <v>519</v>
      </c>
      <c r="C545" s="27"/>
      <c r="D545" s="52"/>
    </row>
    <row r="546" spans="1:4" ht="112.5">
      <c r="A546" s="25">
        <v>3</v>
      </c>
      <c r="B546" s="35" t="s">
        <v>520</v>
      </c>
      <c r="C546" s="27"/>
      <c r="D546" s="36"/>
    </row>
    <row r="547" spans="1:4" ht="26.25">
      <c r="A547" s="25">
        <v>4</v>
      </c>
      <c r="B547" s="35" t="s">
        <v>521</v>
      </c>
      <c r="C547" s="27"/>
      <c r="D547" s="52"/>
    </row>
    <row r="548" spans="1:4" ht="168.75">
      <c r="A548" s="25">
        <v>5</v>
      </c>
      <c r="B548" s="35" t="s">
        <v>522</v>
      </c>
      <c r="C548" s="27"/>
      <c r="D548" s="36"/>
    </row>
    <row r="549" spans="1:4" ht="26.25">
      <c r="A549" s="25">
        <v>6</v>
      </c>
      <c r="B549" s="35" t="s">
        <v>523</v>
      </c>
      <c r="C549" s="27"/>
      <c r="D549" s="36"/>
    </row>
    <row r="550" spans="1:4" ht="37.5">
      <c r="A550" s="25">
        <v>7</v>
      </c>
      <c r="B550" s="35" t="s">
        <v>524</v>
      </c>
      <c r="C550" s="27"/>
      <c r="D550" s="36"/>
    </row>
    <row r="551" spans="1:4" ht="26.25">
      <c r="A551" s="25">
        <v>8</v>
      </c>
      <c r="B551" s="35" t="s">
        <v>525</v>
      </c>
      <c r="C551" s="27"/>
      <c r="D551" s="36"/>
    </row>
    <row r="552" spans="1:4" ht="26.25">
      <c r="A552" s="25">
        <v>9</v>
      </c>
      <c r="B552" s="35" t="s">
        <v>526</v>
      </c>
      <c r="C552" s="27"/>
      <c r="D552" s="36"/>
    </row>
    <row r="553" spans="1:4" ht="26.25">
      <c r="A553" s="25">
        <v>10</v>
      </c>
      <c r="B553" s="35" t="s">
        <v>527</v>
      </c>
      <c r="C553" s="27"/>
      <c r="D553" s="36"/>
    </row>
    <row r="554" spans="1:4" ht="26.25">
      <c r="A554" s="25">
        <v>11</v>
      </c>
      <c r="B554" s="35" t="s">
        <v>528</v>
      </c>
      <c r="C554" s="27"/>
      <c r="D554" s="36"/>
    </row>
    <row r="555" spans="1:4" ht="187.5">
      <c r="A555" s="25">
        <v>12</v>
      </c>
      <c r="B555" s="35" t="s">
        <v>529</v>
      </c>
      <c r="C555" s="27"/>
      <c r="D555" s="36"/>
    </row>
    <row r="556" spans="1:4" ht="26.25">
      <c r="A556" s="81" t="s">
        <v>72</v>
      </c>
      <c r="B556" s="82"/>
      <c r="C556" s="83"/>
      <c r="D556" s="29" t="str">
        <f>IF(COUNT(C544:C555)=0,"N/A",SUM((C544:C555))/(COUNT((C544:C555))*2))</f>
        <v>N/A</v>
      </c>
    </row>
    <row r="557" spans="1:4" ht="26.25">
      <c r="A557" s="84" t="s">
        <v>530</v>
      </c>
      <c r="B557" s="85"/>
      <c r="C557" s="85"/>
      <c r="D557" s="86"/>
    </row>
    <row r="558" spans="1:4" ht="26.25">
      <c r="A558" s="63" t="s">
        <v>531</v>
      </c>
      <c r="B558" s="64"/>
      <c r="C558" s="64"/>
      <c r="D558" s="65"/>
    </row>
    <row r="559" spans="1:4" ht="26.25">
      <c r="A559" s="25">
        <v>1</v>
      </c>
      <c r="B559" s="35" t="s">
        <v>532</v>
      </c>
      <c r="C559" s="27"/>
      <c r="D559" s="36"/>
    </row>
    <row r="560" spans="1:4" ht="26.25">
      <c r="A560" s="25">
        <v>2</v>
      </c>
      <c r="B560" s="35" t="s">
        <v>533</v>
      </c>
      <c r="C560" s="27"/>
      <c r="D560" s="36"/>
    </row>
    <row r="561" spans="1:4" ht="41.25">
      <c r="A561" s="25">
        <v>3</v>
      </c>
      <c r="B561" s="35" t="s">
        <v>534</v>
      </c>
      <c r="C561" s="27"/>
      <c r="D561" s="36"/>
    </row>
    <row r="562" spans="1:4" ht="26.25">
      <c r="A562" s="25">
        <v>4</v>
      </c>
      <c r="B562" s="35" t="s">
        <v>535</v>
      </c>
      <c r="C562" s="27"/>
      <c r="D562" s="36"/>
    </row>
    <row r="563" spans="1:4" ht="26.25">
      <c r="A563" s="25">
        <v>5</v>
      </c>
      <c r="B563" s="35" t="s">
        <v>536</v>
      </c>
      <c r="C563" s="27"/>
      <c r="D563" s="36"/>
    </row>
    <row r="564" spans="1:4" ht="26.25">
      <c r="A564" s="25">
        <v>6</v>
      </c>
      <c r="B564" s="35" t="s">
        <v>537</v>
      </c>
      <c r="C564" s="27"/>
      <c r="D564" s="36"/>
    </row>
    <row r="565" spans="1:4" ht="37.5">
      <c r="A565" s="25">
        <v>7</v>
      </c>
      <c r="B565" s="35" t="s">
        <v>538</v>
      </c>
      <c r="C565" s="27"/>
      <c r="D565" s="36"/>
    </row>
    <row r="566" spans="1:4" ht="26.25">
      <c r="A566" s="63" t="s">
        <v>539</v>
      </c>
      <c r="B566" s="64"/>
      <c r="C566" s="64"/>
      <c r="D566" s="65"/>
    </row>
    <row r="567" spans="1:4" ht="168.75">
      <c r="A567" s="25">
        <v>8</v>
      </c>
      <c r="B567" s="35" t="s">
        <v>540</v>
      </c>
      <c r="C567" s="27"/>
      <c r="D567" s="36"/>
    </row>
    <row r="568" spans="1:4" ht="168.75">
      <c r="A568" s="25">
        <v>9</v>
      </c>
      <c r="B568" s="35" t="s">
        <v>541</v>
      </c>
      <c r="C568" s="27"/>
      <c r="D568" s="36"/>
    </row>
    <row r="569" spans="1:4" ht="131.25">
      <c r="A569" s="25">
        <v>10</v>
      </c>
      <c r="B569" s="35" t="s">
        <v>542</v>
      </c>
      <c r="C569" s="27"/>
      <c r="D569" s="36"/>
    </row>
    <row r="570" spans="1:4" ht="281.25">
      <c r="A570" s="25">
        <v>11</v>
      </c>
      <c r="B570" s="35" t="s">
        <v>543</v>
      </c>
      <c r="C570" s="27"/>
      <c r="D570" s="36"/>
    </row>
    <row r="571" spans="1:4" ht="26.25">
      <c r="A571" s="25">
        <v>12</v>
      </c>
      <c r="B571" s="35" t="s">
        <v>544</v>
      </c>
      <c r="C571" s="27"/>
      <c r="D571" s="36"/>
    </row>
    <row r="572" spans="1:4" ht="26.25">
      <c r="A572" s="25">
        <v>13</v>
      </c>
      <c r="B572" s="35" t="s">
        <v>545</v>
      </c>
      <c r="C572" s="27"/>
      <c r="D572" s="36"/>
    </row>
    <row r="573" spans="1:4" ht="18.75">
      <c r="A573" s="104" t="s">
        <v>546</v>
      </c>
      <c r="B573" s="105"/>
      <c r="C573" s="105"/>
      <c r="D573" s="106"/>
    </row>
    <row r="574" spans="1:4" ht="26.25">
      <c r="A574" s="25">
        <v>14</v>
      </c>
      <c r="B574" s="35" t="s">
        <v>547</v>
      </c>
      <c r="C574" s="27"/>
      <c r="D574" s="36"/>
    </row>
    <row r="575" spans="1:4" ht="37.5">
      <c r="A575" s="25">
        <v>15</v>
      </c>
      <c r="B575" s="35" t="s">
        <v>548</v>
      </c>
      <c r="C575" s="27"/>
      <c r="D575" s="36"/>
    </row>
    <row r="576" spans="1:4" ht="26.25">
      <c r="A576" s="25">
        <v>16</v>
      </c>
      <c r="B576" s="35" t="s">
        <v>549</v>
      </c>
      <c r="C576" s="27"/>
      <c r="D576" s="36"/>
    </row>
    <row r="577" spans="1:4" ht="26.25">
      <c r="A577" s="63" t="s">
        <v>550</v>
      </c>
      <c r="B577" s="64"/>
      <c r="C577" s="64"/>
      <c r="D577" s="65"/>
    </row>
    <row r="578" spans="1:4" ht="26.25">
      <c r="A578" s="25">
        <v>17</v>
      </c>
      <c r="B578" s="35" t="s">
        <v>551</v>
      </c>
      <c r="C578" s="27"/>
      <c r="D578" s="36"/>
    </row>
    <row r="579" spans="1:4" ht="26.25">
      <c r="A579" s="25">
        <v>18</v>
      </c>
      <c r="B579" s="35" t="s">
        <v>552</v>
      </c>
      <c r="C579" s="27"/>
      <c r="D579" s="36"/>
    </row>
    <row r="580" spans="1:4" ht="26.25">
      <c r="A580" s="25">
        <v>19</v>
      </c>
      <c r="B580" s="35" t="s">
        <v>553</v>
      </c>
      <c r="C580" s="27"/>
      <c r="D580" s="36"/>
    </row>
    <row r="581" spans="1:4" ht="37.5">
      <c r="A581" s="25">
        <v>20</v>
      </c>
      <c r="B581" s="35" t="s">
        <v>554</v>
      </c>
      <c r="C581" s="27"/>
      <c r="D581" s="36"/>
    </row>
    <row r="582" spans="1:4" ht="26.25">
      <c r="A582" s="25">
        <v>21</v>
      </c>
      <c r="B582" s="35" t="s">
        <v>555</v>
      </c>
      <c r="C582" s="27"/>
      <c r="D582" s="36"/>
    </row>
    <row r="583" spans="1:4" ht="26.25">
      <c r="A583" s="25">
        <v>22</v>
      </c>
      <c r="B583" s="35" t="s">
        <v>556</v>
      </c>
      <c r="C583" s="27"/>
      <c r="D583" s="36"/>
    </row>
    <row r="584" spans="1:4" ht="37.5">
      <c r="A584" s="25">
        <v>23</v>
      </c>
      <c r="B584" s="35" t="s">
        <v>557</v>
      </c>
      <c r="C584" s="27"/>
      <c r="D584" s="36"/>
    </row>
    <row r="585" spans="1:4" ht="26.25">
      <c r="A585" s="25">
        <v>24</v>
      </c>
      <c r="B585" s="35" t="s">
        <v>558</v>
      </c>
      <c r="C585" s="27"/>
      <c r="D585" s="36"/>
    </row>
    <row r="586" spans="1:4" ht="26.25">
      <c r="A586" s="25">
        <v>25</v>
      </c>
      <c r="B586" s="35" t="s">
        <v>559</v>
      </c>
      <c r="C586" s="27"/>
      <c r="D586" s="36"/>
    </row>
    <row r="587" spans="1:4" ht="26.25">
      <c r="A587" s="25">
        <v>26</v>
      </c>
      <c r="B587" s="35" t="s">
        <v>560</v>
      </c>
      <c r="C587" s="27"/>
      <c r="D587" s="36"/>
    </row>
    <row r="588" spans="1:4" ht="150">
      <c r="A588" s="25">
        <v>27</v>
      </c>
      <c r="B588" s="35" t="s">
        <v>561</v>
      </c>
      <c r="C588" s="27"/>
      <c r="D588" s="36"/>
    </row>
    <row r="589" spans="1:4" ht="26.25">
      <c r="A589" s="25">
        <v>28</v>
      </c>
      <c r="B589" s="35" t="s">
        <v>562</v>
      </c>
      <c r="C589" s="27"/>
      <c r="D589" s="36"/>
    </row>
    <row r="590" spans="1:4" ht="26.25">
      <c r="A590" s="63" t="s">
        <v>563</v>
      </c>
      <c r="B590" s="64"/>
      <c r="C590" s="64"/>
      <c r="D590" s="65"/>
    </row>
    <row r="591" spans="1:4" ht="26.25">
      <c r="A591" s="25">
        <v>29</v>
      </c>
      <c r="B591" s="35" t="s">
        <v>564</v>
      </c>
      <c r="C591" s="27"/>
      <c r="D591" s="36"/>
    </row>
    <row r="592" spans="1:4" ht="37.5">
      <c r="A592" s="25">
        <v>30</v>
      </c>
      <c r="B592" s="35" t="s">
        <v>565</v>
      </c>
      <c r="C592" s="27"/>
      <c r="D592" s="36"/>
    </row>
    <row r="593" spans="1:4" ht="37.5">
      <c r="A593" s="25">
        <v>31</v>
      </c>
      <c r="B593" s="35" t="s">
        <v>566</v>
      </c>
      <c r="C593" s="27"/>
      <c r="D593" s="36"/>
    </row>
    <row r="594" spans="1:4" ht="37.5">
      <c r="A594" s="25">
        <v>32</v>
      </c>
      <c r="B594" s="35" t="s">
        <v>567</v>
      </c>
      <c r="C594" s="27"/>
      <c r="D594" s="36"/>
    </row>
    <row r="595" spans="1:4" ht="26.25">
      <c r="A595" s="25">
        <v>33</v>
      </c>
      <c r="B595" s="35" t="s">
        <v>568</v>
      </c>
      <c r="C595" s="27"/>
      <c r="D595" s="36"/>
    </row>
    <row r="596" spans="1:4" ht="26.25">
      <c r="A596" s="25">
        <v>34</v>
      </c>
      <c r="B596" s="35" t="s">
        <v>569</v>
      </c>
      <c r="C596" s="27"/>
      <c r="D596" s="36"/>
    </row>
    <row r="597" spans="1:4" ht="26.25">
      <c r="A597" s="25">
        <v>35</v>
      </c>
      <c r="B597" s="35" t="s">
        <v>570</v>
      </c>
      <c r="C597" s="27"/>
      <c r="D597" s="36"/>
    </row>
    <row r="598" spans="1:4" ht="37.5">
      <c r="A598" s="25">
        <v>36</v>
      </c>
      <c r="B598" s="35" t="s">
        <v>571</v>
      </c>
      <c r="C598" s="27"/>
      <c r="D598" s="36"/>
    </row>
    <row r="599" spans="1:4" ht="37.5">
      <c r="A599" s="25">
        <v>37</v>
      </c>
      <c r="B599" s="35" t="s">
        <v>572</v>
      </c>
      <c r="C599" s="27"/>
      <c r="D599" s="36"/>
    </row>
    <row r="600" spans="1:4" ht="26.25">
      <c r="A600" s="25">
        <v>38</v>
      </c>
      <c r="B600" s="35" t="s">
        <v>573</v>
      </c>
      <c r="C600" s="27"/>
      <c r="D600" s="36"/>
    </row>
    <row r="601" spans="1:4" ht="26.25">
      <c r="A601" s="25">
        <v>39</v>
      </c>
      <c r="B601" s="35" t="s">
        <v>574</v>
      </c>
      <c r="C601" s="27"/>
      <c r="D601" s="36"/>
    </row>
    <row r="602" spans="1:4" ht="26.25">
      <c r="A602" s="25">
        <v>40</v>
      </c>
      <c r="B602" s="35" t="s">
        <v>575</v>
      </c>
      <c r="C602" s="27"/>
      <c r="D602" s="36"/>
    </row>
    <row r="603" spans="1:4" ht="26.25">
      <c r="A603" s="25">
        <v>41</v>
      </c>
      <c r="B603" s="35" t="s">
        <v>576</v>
      </c>
      <c r="C603" s="27"/>
      <c r="D603" s="36"/>
    </row>
    <row r="604" spans="1:4" ht="26.25">
      <c r="A604" s="25">
        <v>42</v>
      </c>
      <c r="B604" s="35" t="s">
        <v>577</v>
      </c>
      <c r="C604" s="27"/>
      <c r="D604" s="36"/>
    </row>
    <row r="605" spans="1:4" ht="26.25">
      <c r="A605" s="63" t="s">
        <v>578</v>
      </c>
      <c r="B605" s="64"/>
      <c r="C605" s="64"/>
      <c r="D605" s="65"/>
    </row>
    <row r="606" spans="1:4" ht="26.25">
      <c r="A606" s="25">
        <v>43</v>
      </c>
      <c r="B606" s="35" t="s">
        <v>579</v>
      </c>
      <c r="C606" s="27"/>
      <c r="D606" s="36"/>
    </row>
    <row r="607" spans="1:4" ht="26.25">
      <c r="A607" s="25">
        <v>44</v>
      </c>
      <c r="B607" s="35" t="s">
        <v>580</v>
      </c>
      <c r="C607" s="27"/>
      <c r="D607" s="36"/>
    </row>
    <row r="608" spans="1:4" ht="37.5">
      <c r="A608" s="25">
        <v>45</v>
      </c>
      <c r="B608" s="35" t="s">
        <v>581</v>
      </c>
      <c r="C608" s="27"/>
      <c r="D608" s="36"/>
    </row>
    <row r="609" spans="1:4" ht="37.5">
      <c r="A609" s="25">
        <v>46</v>
      </c>
      <c r="B609" s="35" t="s">
        <v>582</v>
      </c>
      <c r="C609" s="27"/>
      <c r="D609" s="36"/>
    </row>
    <row r="610" spans="1:4" ht="26.25">
      <c r="A610" s="63" t="s">
        <v>583</v>
      </c>
      <c r="B610" s="64"/>
      <c r="C610" s="64"/>
      <c r="D610" s="65"/>
    </row>
    <row r="611" spans="1:4" ht="37.5">
      <c r="A611" s="25">
        <v>47</v>
      </c>
      <c r="B611" s="35" t="s">
        <v>584</v>
      </c>
      <c r="C611" s="27"/>
      <c r="D611" s="36"/>
    </row>
    <row r="612" spans="1:4" ht="37.5">
      <c r="A612" s="25">
        <v>48</v>
      </c>
      <c r="B612" s="35" t="s">
        <v>585</v>
      </c>
      <c r="C612" s="27"/>
      <c r="D612" s="36"/>
    </row>
    <row r="613" spans="1:4" ht="37.5">
      <c r="A613" s="25">
        <v>49</v>
      </c>
      <c r="B613" s="35" t="s">
        <v>586</v>
      </c>
      <c r="C613" s="27"/>
      <c r="D613" s="36"/>
    </row>
    <row r="614" spans="1:4" ht="26.25">
      <c r="A614" s="25">
        <v>50</v>
      </c>
      <c r="B614" s="35" t="s">
        <v>587</v>
      </c>
      <c r="C614" s="27"/>
      <c r="D614" s="36"/>
    </row>
    <row r="615" spans="1:4" ht="26.25">
      <c r="A615" s="25">
        <v>51</v>
      </c>
      <c r="B615" s="35" t="s">
        <v>588</v>
      </c>
      <c r="C615" s="27"/>
      <c r="D615" s="36"/>
    </row>
    <row r="616" spans="1:4" ht="93.75">
      <c r="A616" s="25">
        <v>52</v>
      </c>
      <c r="B616" s="35" t="s">
        <v>589</v>
      </c>
      <c r="C616" s="27"/>
      <c r="D616" s="36"/>
    </row>
    <row r="617" spans="1:4" ht="75">
      <c r="A617" s="25">
        <v>53</v>
      </c>
      <c r="B617" s="35" t="s">
        <v>590</v>
      </c>
      <c r="C617" s="27"/>
      <c r="D617" s="36"/>
    </row>
    <row r="618" spans="1:4" ht="37.5">
      <c r="A618" s="25">
        <v>54</v>
      </c>
      <c r="B618" s="35" t="s">
        <v>591</v>
      </c>
      <c r="C618" s="27"/>
      <c r="D618" s="36"/>
    </row>
    <row r="619" spans="1:4" ht="26.25">
      <c r="A619" s="63" t="s">
        <v>592</v>
      </c>
      <c r="B619" s="64"/>
      <c r="C619" s="64"/>
      <c r="D619" s="65"/>
    </row>
    <row r="620" spans="1:4" ht="26.25">
      <c r="A620" s="25">
        <v>55</v>
      </c>
      <c r="B620" s="35" t="s">
        <v>593</v>
      </c>
      <c r="C620" s="27"/>
      <c r="D620" s="36"/>
    </row>
    <row r="621" spans="1:4" ht="26.25">
      <c r="A621" s="25">
        <v>56</v>
      </c>
      <c r="B621" s="35" t="s">
        <v>594</v>
      </c>
      <c r="C621" s="27"/>
      <c r="D621" s="36"/>
    </row>
    <row r="622" spans="1:4" ht="26.25">
      <c r="A622" s="25">
        <v>57</v>
      </c>
      <c r="B622" s="35" t="s">
        <v>595</v>
      </c>
      <c r="C622" s="27"/>
      <c r="D622" s="36"/>
    </row>
    <row r="623" spans="1:4" ht="26.25">
      <c r="A623" s="25">
        <v>58</v>
      </c>
      <c r="B623" s="35" t="s">
        <v>596</v>
      </c>
      <c r="C623" s="27"/>
      <c r="D623" s="36"/>
    </row>
    <row r="624" spans="1:4" ht="26.25">
      <c r="A624" s="63" t="s">
        <v>597</v>
      </c>
      <c r="B624" s="64"/>
      <c r="C624" s="64"/>
      <c r="D624" s="65"/>
    </row>
    <row r="625" spans="1:4" ht="26.25">
      <c r="A625" s="25">
        <v>59</v>
      </c>
      <c r="B625" s="35" t="s">
        <v>598</v>
      </c>
      <c r="C625" s="27"/>
      <c r="D625" s="36"/>
    </row>
    <row r="626" spans="1:4" ht="26.25">
      <c r="A626" s="25">
        <v>60</v>
      </c>
      <c r="B626" s="35" t="s">
        <v>599</v>
      </c>
      <c r="C626" s="27"/>
      <c r="D626" s="36"/>
    </row>
    <row r="627" spans="1:4" ht="93.75">
      <c r="A627" s="25">
        <v>61</v>
      </c>
      <c r="B627" s="35" t="s">
        <v>600</v>
      </c>
      <c r="C627" s="27"/>
      <c r="D627" s="36"/>
    </row>
    <row r="628" spans="1:4" ht="37.5">
      <c r="A628" s="25">
        <v>62</v>
      </c>
      <c r="B628" s="35" t="s">
        <v>601</v>
      </c>
      <c r="C628" s="27"/>
      <c r="D628" s="36"/>
    </row>
    <row r="629" spans="1:4" ht="26.25">
      <c r="A629" s="25">
        <v>63</v>
      </c>
      <c r="B629" s="35" t="s">
        <v>602</v>
      </c>
      <c r="C629" s="27"/>
      <c r="D629" s="36"/>
    </row>
    <row r="630" spans="1:4" ht="26.25">
      <c r="A630" s="25">
        <v>64</v>
      </c>
      <c r="B630" s="35" t="s">
        <v>603</v>
      </c>
      <c r="C630" s="27"/>
      <c r="D630" s="36"/>
    </row>
    <row r="631" spans="1:4" ht="26.25">
      <c r="A631" s="25">
        <v>65</v>
      </c>
      <c r="B631" s="35" t="s">
        <v>604</v>
      </c>
      <c r="C631" s="27"/>
      <c r="D631" s="36"/>
    </row>
    <row r="632" spans="1:4" ht="26.25">
      <c r="A632" s="25">
        <v>66</v>
      </c>
      <c r="B632" s="35" t="s">
        <v>605</v>
      </c>
      <c r="C632" s="27"/>
      <c r="D632" s="36"/>
    </row>
    <row r="633" spans="1:4" ht="26.25">
      <c r="A633" s="81" t="s">
        <v>606</v>
      </c>
      <c r="B633" s="82"/>
      <c r="C633" s="83"/>
      <c r="D633" s="29" t="str">
        <f>IF(COUNT(C559:C632)=0,"N/A",SUM((C559:C632))/(COUNT((C559:C632))*2))</f>
        <v>N/A</v>
      </c>
    </row>
    <row r="634" spans="1:4" ht="26.25">
      <c r="A634" s="84" t="s">
        <v>607</v>
      </c>
      <c r="B634" s="85"/>
      <c r="C634" s="85"/>
      <c r="D634" s="86"/>
    </row>
    <row r="635" spans="1:4" ht="26.25">
      <c r="A635" s="63" t="s">
        <v>608</v>
      </c>
      <c r="B635" s="64"/>
      <c r="C635" s="64"/>
      <c r="D635" s="65"/>
    </row>
    <row r="636" spans="1:4" ht="26.25">
      <c r="A636" s="25">
        <v>1</v>
      </c>
      <c r="B636" s="35" t="s">
        <v>609</v>
      </c>
      <c r="C636" s="27"/>
      <c r="D636" s="36"/>
    </row>
    <row r="637" spans="1:4" ht="26.25">
      <c r="A637" s="63" t="s">
        <v>610</v>
      </c>
      <c r="B637" s="64"/>
      <c r="C637" s="64"/>
      <c r="D637" s="65"/>
    </row>
    <row r="638" spans="1:4" ht="26.25">
      <c r="A638" s="25">
        <v>2</v>
      </c>
      <c r="B638" s="35" t="s">
        <v>611</v>
      </c>
      <c r="C638" s="27"/>
      <c r="D638" s="36"/>
    </row>
    <row r="639" spans="1:4" ht="26.25">
      <c r="A639" s="25">
        <v>3</v>
      </c>
      <c r="B639" s="35" t="s">
        <v>612</v>
      </c>
      <c r="C639" s="27"/>
      <c r="D639" s="36"/>
    </row>
    <row r="640" spans="1:4" ht="26.25">
      <c r="A640" s="25">
        <v>4</v>
      </c>
      <c r="B640" s="35" t="s">
        <v>613</v>
      </c>
      <c r="C640" s="27"/>
      <c r="D640" s="36"/>
    </row>
    <row r="641" spans="1:4" ht="26.25">
      <c r="A641" s="25">
        <v>5</v>
      </c>
      <c r="B641" s="35" t="s">
        <v>614</v>
      </c>
      <c r="C641" s="27"/>
      <c r="D641" s="36"/>
    </row>
    <row r="642" spans="1:4" ht="26.25">
      <c r="A642" s="25">
        <v>6</v>
      </c>
      <c r="B642" s="35" t="s">
        <v>615</v>
      </c>
      <c r="C642" s="27"/>
      <c r="D642" s="36"/>
    </row>
    <row r="643" spans="1:4" ht="26.25">
      <c r="A643" s="25">
        <v>7</v>
      </c>
      <c r="B643" s="35" t="s">
        <v>616</v>
      </c>
      <c r="C643" s="27"/>
      <c r="D643" s="36"/>
    </row>
    <row r="644" spans="1:4" ht="26.25">
      <c r="A644" s="25">
        <v>8</v>
      </c>
      <c r="B644" s="35" t="s">
        <v>617</v>
      </c>
      <c r="C644" s="27"/>
      <c r="D644" s="36"/>
    </row>
    <row r="645" spans="1:4" ht="75">
      <c r="A645" s="25">
        <v>9</v>
      </c>
      <c r="B645" s="35" t="s">
        <v>618</v>
      </c>
      <c r="C645" s="27"/>
      <c r="D645" s="36"/>
    </row>
    <row r="646" spans="1:4" ht="37.5">
      <c r="A646" s="25">
        <v>10</v>
      </c>
      <c r="B646" s="35" t="s">
        <v>619</v>
      </c>
      <c r="C646" s="27"/>
      <c r="D646" s="36"/>
    </row>
    <row r="647" spans="1:4" ht="26.25">
      <c r="A647" s="25">
        <v>11</v>
      </c>
      <c r="B647" s="35" t="s">
        <v>620</v>
      </c>
      <c r="C647" s="27"/>
      <c r="D647" s="36"/>
    </row>
    <row r="648" spans="1:4" ht="26.25">
      <c r="A648" s="25">
        <v>12</v>
      </c>
      <c r="B648" s="35" t="s">
        <v>621</v>
      </c>
      <c r="C648" s="27"/>
      <c r="D648" s="36"/>
    </row>
    <row r="649" spans="1:4" ht="37.5">
      <c r="A649" s="25">
        <v>13</v>
      </c>
      <c r="B649" s="35" t="s">
        <v>622</v>
      </c>
      <c r="C649" s="27"/>
      <c r="D649" s="36"/>
    </row>
    <row r="650" spans="1:4" ht="26.25">
      <c r="A650" s="63" t="s">
        <v>623</v>
      </c>
      <c r="B650" s="64"/>
      <c r="C650" s="64"/>
      <c r="D650" s="65"/>
    </row>
    <row r="651" spans="1:4" ht="75">
      <c r="A651" s="25">
        <v>14</v>
      </c>
      <c r="B651" s="35" t="s">
        <v>624</v>
      </c>
      <c r="C651" s="27"/>
      <c r="D651" s="36"/>
    </row>
    <row r="652" spans="1:4" ht="37.5">
      <c r="A652" s="25">
        <v>15</v>
      </c>
      <c r="B652" s="35" t="s">
        <v>625</v>
      </c>
      <c r="C652" s="27"/>
      <c r="D652" s="36"/>
    </row>
    <row r="653" spans="1:4" ht="26.25">
      <c r="A653" s="25">
        <v>16</v>
      </c>
      <c r="B653" s="35" t="s">
        <v>626</v>
      </c>
      <c r="C653" s="27"/>
      <c r="D653" s="36"/>
    </row>
    <row r="654" spans="1:4" ht="26.25">
      <c r="A654" s="25">
        <v>17</v>
      </c>
      <c r="B654" s="35" t="s">
        <v>627</v>
      </c>
      <c r="C654" s="27"/>
      <c r="D654" s="36"/>
    </row>
    <row r="655" spans="1:4" ht="56.25">
      <c r="A655" s="25">
        <v>18</v>
      </c>
      <c r="B655" s="35" t="s">
        <v>628</v>
      </c>
      <c r="C655" s="27"/>
      <c r="D655" s="36"/>
    </row>
    <row r="656" spans="1:4" ht="56.25">
      <c r="A656" s="25">
        <v>19</v>
      </c>
      <c r="B656" s="35" t="s">
        <v>629</v>
      </c>
      <c r="C656" s="27"/>
      <c r="D656" s="36"/>
    </row>
    <row r="657" spans="1:4" ht="26.25">
      <c r="A657" s="63" t="s">
        <v>630</v>
      </c>
      <c r="B657" s="64"/>
      <c r="C657" s="64"/>
      <c r="D657" s="65"/>
    </row>
    <row r="658" spans="1:4" ht="112.5">
      <c r="A658" s="25">
        <v>20</v>
      </c>
      <c r="B658" s="35" t="s">
        <v>631</v>
      </c>
      <c r="C658" s="27"/>
      <c r="D658" s="36"/>
    </row>
    <row r="659" spans="1:4" ht="26.25">
      <c r="A659" s="63" t="s">
        <v>632</v>
      </c>
      <c r="B659" s="64"/>
      <c r="C659" s="64"/>
      <c r="D659" s="65"/>
    </row>
    <row r="660" spans="1:4" ht="26.25">
      <c r="A660" s="25">
        <v>21</v>
      </c>
      <c r="B660" s="35" t="s">
        <v>633</v>
      </c>
      <c r="C660" s="27"/>
      <c r="D660" s="36"/>
    </row>
    <row r="661" spans="1:4" ht="26.25">
      <c r="A661" s="25">
        <v>22</v>
      </c>
      <c r="B661" s="35" t="s">
        <v>634</v>
      </c>
      <c r="C661" s="27"/>
      <c r="D661" s="36"/>
    </row>
    <row r="662" spans="1:4" ht="26.25">
      <c r="A662" s="25">
        <v>23</v>
      </c>
      <c r="B662" s="35" t="s">
        <v>635</v>
      </c>
      <c r="C662" s="27"/>
      <c r="D662" s="36"/>
    </row>
    <row r="663" spans="1:4" ht="26.25">
      <c r="A663" s="25">
        <v>24</v>
      </c>
      <c r="B663" s="35" t="s">
        <v>636</v>
      </c>
      <c r="C663" s="27"/>
      <c r="D663" s="36"/>
    </row>
    <row r="664" spans="1:4" ht="26.25">
      <c r="A664" s="63" t="s">
        <v>98</v>
      </c>
      <c r="B664" s="64"/>
      <c r="C664" s="64"/>
      <c r="D664" s="65"/>
    </row>
    <row r="665" spans="1:4" ht="116.25">
      <c r="A665" s="25">
        <v>25</v>
      </c>
      <c r="B665" s="35" t="s">
        <v>637</v>
      </c>
      <c r="C665" s="27"/>
      <c r="D665" s="36"/>
    </row>
    <row r="666" spans="1:4" ht="26.25">
      <c r="A666" s="63" t="s">
        <v>638</v>
      </c>
      <c r="B666" s="64"/>
      <c r="C666" s="64"/>
      <c r="D666" s="65"/>
    </row>
    <row r="667" spans="1:4" ht="26.25">
      <c r="A667" s="25">
        <v>26</v>
      </c>
      <c r="B667" s="35" t="s">
        <v>639</v>
      </c>
      <c r="C667" s="27"/>
      <c r="D667" s="36"/>
    </row>
    <row r="668" spans="1:4" ht="26.25">
      <c r="A668" s="25">
        <v>27</v>
      </c>
      <c r="B668" s="35" t="s">
        <v>640</v>
      </c>
      <c r="C668" s="27"/>
      <c r="D668" s="36"/>
    </row>
    <row r="669" spans="1:4" ht="37.5">
      <c r="A669" s="25">
        <v>28</v>
      </c>
      <c r="B669" s="35" t="s">
        <v>641</v>
      </c>
      <c r="C669" s="27"/>
      <c r="D669" s="36"/>
    </row>
    <row r="670" spans="1:4" ht="37.5">
      <c r="A670" s="25">
        <v>29</v>
      </c>
      <c r="B670" s="35" t="s">
        <v>642</v>
      </c>
      <c r="C670" s="27"/>
      <c r="D670" s="36"/>
    </row>
    <row r="671" spans="1:4" ht="37.5">
      <c r="A671" s="25">
        <v>30</v>
      </c>
      <c r="B671" s="35" t="s">
        <v>643</v>
      </c>
      <c r="C671" s="27"/>
      <c r="D671" s="36"/>
    </row>
    <row r="672" spans="1:4" ht="37.5">
      <c r="A672" s="25">
        <v>31</v>
      </c>
      <c r="B672" s="35" t="s">
        <v>644</v>
      </c>
      <c r="C672" s="27"/>
      <c r="D672" s="36"/>
    </row>
    <row r="673" spans="1:4" ht="37.5">
      <c r="A673" s="25">
        <v>32</v>
      </c>
      <c r="B673" s="35" t="s">
        <v>645</v>
      </c>
      <c r="C673" s="27"/>
      <c r="D673" s="36"/>
    </row>
    <row r="674" spans="1:4" ht="26.25">
      <c r="A674" s="25">
        <v>33</v>
      </c>
      <c r="B674" s="35" t="s">
        <v>646</v>
      </c>
      <c r="C674" s="27"/>
      <c r="D674" s="36"/>
    </row>
    <row r="675" spans="1:4" ht="26.25">
      <c r="A675" s="25">
        <v>34</v>
      </c>
      <c r="B675" s="35" t="s">
        <v>647</v>
      </c>
      <c r="C675" s="27"/>
      <c r="D675" s="36"/>
    </row>
    <row r="676" spans="1:4" ht="26.25">
      <c r="A676" s="102" t="s">
        <v>72</v>
      </c>
      <c r="B676" s="103"/>
      <c r="C676" s="103"/>
      <c r="D676" s="29" t="str">
        <f>IF(COUNT(C636:C675)=0,"N/A",SUM((C636:C675))/(COUNT((C636:C675))*2))</f>
        <v>N/A</v>
      </c>
    </row>
    <row r="677" spans="1:4" ht="26.25">
      <c r="A677" s="90" t="s">
        <v>648</v>
      </c>
      <c r="B677" s="91"/>
      <c r="C677" s="91"/>
      <c r="D677" s="92"/>
    </row>
    <row r="678" spans="1:4" ht="26.25">
      <c r="A678" s="25">
        <v>1</v>
      </c>
      <c r="B678" s="35" t="s">
        <v>649</v>
      </c>
      <c r="C678" s="27"/>
      <c r="D678" s="36"/>
    </row>
    <row r="679" spans="1:4" ht="26.25">
      <c r="A679" s="25">
        <v>2</v>
      </c>
      <c r="B679" s="35" t="s">
        <v>650</v>
      </c>
      <c r="C679" s="27"/>
      <c r="D679" s="36"/>
    </row>
    <row r="680" spans="1:4" ht="26.25">
      <c r="A680" s="63" t="s">
        <v>651</v>
      </c>
      <c r="B680" s="64"/>
      <c r="C680" s="64"/>
      <c r="D680" s="65"/>
    </row>
    <row r="681" spans="1:4" ht="26.25">
      <c r="A681" s="25">
        <v>3</v>
      </c>
      <c r="B681" s="35" t="s">
        <v>652</v>
      </c>
      <c r="C681" s="27"/>
      <c r="D681" s="36"/>
    </row>
    <row r="682" spans="1:4" ht="26.25">
      <c r="A682" s="25">
        <v>4</v>
      </c>
      <c r="B682" s="35" t="s">
        <v>653</v>
      </c>
      <c r="C682" s="27"/>
      <c r="D682" s="36"/>
    </row>
    <row r="683" spans="1:4" ht="26.25">
      <c r="A683" s="25">
        <v>5</v>
      </c>
      <c r="B683" s="35" t="s">
        <v>654</v>
      </c>
      <c r="C683" s="27"/>
      <c r="D683" s="36"/>
    </row>
    <row r="684" spans="1:4" ht="26.25">
      <c r="A684" s="25">
        <v>6</v>
      </c>
      <c r="B684" s="35" t="s">
        <v>655</v>
      </c>
      <c r="C684" s="27"/>
      <c r="D684" s="36"/>
    </row>
    <row r="685" spans="1:4" ht="26.25">
      <c r="A685" s="25">
        <v>7</v>
      </c>
      <c r="B685" s="35" t="s">
        <v>656</v>
      </c>
      <c r="C685" s="27"/>
      <c r="D685" s="36"/>
    </row>
    <row r="686" spans="1:4" ht="26.25">
      <c r="A686" s="25">
        <v>8</v>
      </c>
      <c r="B686" s="35" t="s">
        <v>657</v>
      </c>
      <c r="C686" s="27"/>
      <c r="D686" s="36"/>
    </row>
    <row r="687" spans="1:4" ht="28.5" customHeight="1">
      <c r="A687" s="25">
        <v>9</v>
      </c>
      <c r="B687" s="35" t="s">
        <v>658</v>
      </c>
      <c r="C687" s="27"/>
      <c r="D687" s="36"/>
    </row>
    <row r="688" spans="1:4" ht="26.25">
      <c r="A688" s="63" t="s">
        <v>659</v>
      </c>
      <c r="B688" s="64"/>
      <c r="C688" s="64"/>
      <c r="D688" s="65"/>
    </row>
    <row r="689" spans="1:4" ht="26.25">
      <c r="A689" s="25">
        <v>10</v>
      </c>
      <c r="B689" s="35" t="s">
        <v>660</v>
      </c>
      <c r="C689" s="27"/>
      <c r="D689" s="36"/>
    </row>
    <row r="690" spans="1:4" ht="26.25">
      <c r="A690" s="25">
        <v>11</v>
      </c>
      <c r="B690" s="35" t="s">
        <v>661</v>
      </c>
      <c r="C690" s="27"/>
      <c r="D690" s="36"/>
    </row>
    <row r="691" spans="1:4" ht="26.25">
      <c r="A691" s="25">
        <v>12</v>
      </c>
      <c r="B691" s="35" t="s">
        <v>662</v>
      </c>
      <c r="C691" s="27"/>
      <c r="D691" s="36"/>
    </row>
    <row r="692" spans="1:4" ht="26.25">
      <c r="A692" s="25">
        <v>13</v>
      </c>
      <c r="B692" s="35" t="s">
        <v>663</v>
      </c>
      <c r="C692" s="27"/>
      <c r="D692" s="36"/>
    </row>
    <row r="693" spans="1:4" ht="26.25">
      <c r="A693" s="25">
        <v>14</v>
      </c>
      <c r="B693" s="35" t="s">
        <v>664</v>
      </c>
      <c r="C693" s="27"/>
      <c r="D693" s="36"/>
    </row>
    <row r="694" spans="1:4" ht="26.25">
      <c r="A694" s="25">
        <v>15</v>
      </c>
      <c r="B694" s="35" t="s">
        <v>665</v>
      </c>
      <c r="C694" s="27"/>
      <c r="D694" s="36"/>
    </row>
    <row r="695" spans="1:4" ht="37.5">
      <c r="A695" s="25">
        <v>16</v>
      </c>
      <c r="B695" s="35" t="s">
        <v>666</v>
      </c>
      <c r="C695" s="27"/>
      <c r="D695" s="36"/>
    </row>
    <row r="696" spans="1:4" ht="26.25">
      <c r="A696" s="25">
        <v>17</v>
      </c>
      <c r="B696" s="35" t="s">
        <v>667</v>
      </c>
      <c r="C696" s="27"/>
      <c r="D696" s="36"/>
    </row>
    <row r="697" spans="1:4" ht="37.5">
      <c r="A697" s="25">
        <v>18</v>
      </c>
      <c r="B697" s="35" t="s">
        <v>668</v>
      </c>
      <c r="C697" s="27"/>
      <c r="D697" s="36"/>
    </row>
    <row r="698" spans="1:4" ht="26.25">
      <c r="A698" s="25">
        <v>19</v>
      </c>
      <c r="B698" s="35" t="s">
        <v>669</v>
      </c>
      <c r="C698" s="27"/>
      <c r="D698" s="36"/>
    </row>
    <row r="699" spans="1:4" ht="26.25">
      <c r="A699" s="25">
        <v>20</v>
      </c>
      <c r="B699" s="35" t="s">
        <v>670</v>
      </c>
      <c r="C699" s="27"/>
      <c r="D699" s="36"/>
    </row>
    <row r="700" spans="1:4" ht="26.25">
      <c r="A700" s="25">
        <v>21</v>
      </c>
      <c r="B700" s="35" t="s">
        <v>671</v>
      </c>
      <c r="C700" s="27"/>
      <c r="D700" s="36"/>
    </row>
    <row r="701" spans="1:4" ht="26.25">
      <c r="A701" s="25">
        <v>22</v>
      </c>
      <c r="B701" s="35" t="s">
        <v>672</v>
      </c>
      <c r="C701" s="27"/>
      <c r="D701" s="36"/>
    </row>
    <row r="702" spans="1:4" ht="26.25">
      <c r="A702" s="25">
        <v>23</v>
      </c>
      <c r="B702" s="35" t="s">
        <v>673</v>
      </c>
      <c r="C702" s="27"/>
      <c r="D702" s="36"/>
    </row>
    <row r="703" spans="1:4" ht="26.25">
      <c r="A703" s="25">
        <v>24</v>
      </c>
      <c r="B703" s="35" t="s">
        <v>674</v>
      </c>
      <c r="C703" s="27"/>
      <c r="D703" s="36"/>
    </row>
    <row r="704" spans="1:4" ht="26.25">
      <c r="A704" s="25">
        <v>25</v>
      </c>
      <c r="B704" s="35" t="s">
        <v>675</v>
      </c>
      <c r="C704" s="27"/>
      <c r="D704" s="36"/>
    </row>
    <row r="705" spans="1:4" ht="26.25">
      <c r="A705" s="63" t="s">
        <v>144</v>
      </c>
      <c r="B705" s="64"/>
      <c r="C705" s="64"/>
      <c r="D705" s="65"/>
    </row>
    <row r="706" spans="1:4" ht="206.25">
      <c r="A706" s="25">
        <v>26</v>
      </c>
      <c r="B706" s="39" t="s">
        <v>676</v>
      </c>
      <c r="C706" s="27"/>
      <c r="D706" s="40"/>
    </row>
    <row r="707" spans="1:4" ht="26.25">
      <c r="A707" s="63" t="s">
        <v>677</v>
      </c>
      <c r="B707" s="64"/>
      <c r="C707" s="64"/>
      <c r="D707" s="65"/>
    </row>
    <row r="708" spans="1:4" ht="37.5">
      <c r="A708" s="25">
        <v>27</v>
      </c>
      <c r="B708" s="39" t="s">
        <v>678</v>
      </c>
      <c r="C708" s="27"/>
      <c r="D708" s="40"/>
    </row>
    <row r="709" spans="1:4" ht="26.25">
      <c r="A709" s="25">
        <v>28</v>
      </c>
      <c r="B709" s="35" t="s">
        <v>679</v>
      </c>
      <c r="C709" s="27"/>
      <c r="D709" s="36"/>
    </row>
    <row r="710" spans="1:4" ht="26.25">
      <c r="A710" s="63" t="s">
        <v>680</v>
      </c>
      <c r="B710" s="64"/>
      <c r="C710" s="64"/>
      <c r="D710" s="65"/>
    </row>
    <row r="711" spans="1:4" ht="168.75">
      <c r="A711" s="25">
        <v>29</v>
      </c>
      <c r="B711" s="35" t="s">
        <v>681</v>
      </c>
      <c r="C711" s="27"/>
      <c r="D711" s="36"/>
    </row>
    <row r="712" spans="1:4" ht="75">
      <c r="A712" s="25">
        <v>30</v>
      </c>
      <c r="B712" s="35" t="s">
        <v>682</v>
      </c>
      <c r="C712" s="27"/>
      <c r="D712" s="36"/>
    </row>
    <row r="713" spans="1:4" ht="26.25">
      <c r="A713" s="25">
        <v>31</v>
      </c>
      <c r="B713" s="35" t="s">
        <v>683</v>
      </c>
      <c r="C713" s="27"/>
      <c r="D713" s="36"/>
    </row>
    <row r="714" spans="1:4" ht="26.25">
      <c r="A714" s="81" t="s">
        <v>397</v>
      </c>
      <c r="B714" s="82"/>
      <c r="C714" s="83"/>
      <c r="D714" s="29" t="str">
        <f>IF(COUNT(C678:C713)=0,"N/A",SUM((C678:C713))/(COUNT((C678:C713))*2))</f>
        <v>N/A</v>
      </c>
    </row>
    <row r="715" spans="1:4" ht="26.25">
      <c r="A715" s="93" t="s">
        <v>684</v>
      </c>
      <c r="B715" s="94"/>
      <c r="C715" s="94"/>
      <c r="D715" s="95"/>
    </row>
    <row r="716" spans="1:4" ht="26.25">
      <c r="A716" s="96" t="s">
        <v>685</v>
      </c>
      <c r="B716" s="97"/>
      <c r="C716" s="97"/>
      <c r="D716" s="98"/>
    </row>
    <row r="717" spans="1:4" ht="26.25">
      <c r="A717" s="99" t="s">
        <v>686</v>
      </c>
      <c r="B717" s="100"/>
      <c r="C717" s="100"/>
      <c r="D717" s="101"/>
    </row>
    <row r="718" spans="1:4" ht="168.75">
      <c r="A718" s="25">
        <v>1</v>
      </c>
      <c r="B718" s="55" t="s">
        <v>687</v>
      </c>
      <c r="C718" s="27"/>
      <c r="D718" s="36"/>
    </row>
    <row r="719" spans="1:4" ht="26.25">
      <c r="A719" s="25">
        <v>2</v>
      </c>
      <c r="B719" s="35" t="s">
        <v>688</v>
      </c>
      <c r="C719" s="27"/>
      <c r="D719" s="36"/>
    </row>
    <row r="720" spans="1:4" ht="26.25">
      <c r="A720" s="25">
        <v>3</v>
      </c>
      <c r="B720" s="35" t="s">
        <v>689</v>
      </c>
      <c r="C720" s="27"/>
      <c r="D720" s="36"/>
    </row>
    <row r="721" spans="1:4" ht="26.25">
      <c r="A721" s="25">
        <v>4</v>
      </c>
      <c r="B721" s="35" t="s">
        <v>690</v>
      </c>
      <c r="C721" s="27"/>
      <c r="D721" s="36"/>
    </row>
    <row r="722" spans="1:4" ht="93.75">
      <c r="A722" s="25">
        <v>5</v>
      </c>
      <c r="B722" s="35" t="s">
        <v>691</v>
      </c>
      <c r="C722" s="27"/>
      <c r="D722" s="36"/>
    </row>
    <row r="723" spans="1:4" ht="26.25">
      <c r="A723" s="25">
        <v>6</v>
      </c>
      <c r="B723" s="35" t="s">
        <v>692</v>
      </c>
      <c r="C723" s="27"/>
      <c r="D723" s="36"/>
    </row>
    <row r="724" spans="1:4" ht="26.25">
      <c r="A724" s="63" t="s">
        <v>693</v>
      </c>
      <c r="B724" s="64"/>
      <c r="C724" s="64"/>
      <c r="D724" s="65"/>
    </row>
    <row r="725" spans="1:4" ht="75">
      <c r="A725" s="25">
        <v>7</v>
      </c>
      <c r="B725" s="35" t="s">
        <v>694</v>
      </c>
      <c r="C725" s="27"/>
      <c r="D725" s="36"/>
    </row>
    <row r="726" spans="1:4" ht="26.25">
      <c r="A726" s="25">
        <v>8</v>
      </c>
      <c r="B726" s="35" t="s">
        <v>695</v>
      </c>
      <c r="C726" s="27"/>
      <c r="D726" s="36"/>
    </row>
    <row r="727" spans="1:4" ht="26.25">
      <c r="A727" s="25">
        <v>9</v>
      </c>
      <c r="B727" s="35" t="s">
        <v>696</v>
      </c>
      <c r="C727" s="27"/>
      <c r="D727" s="36"/>
    </row>
    <row r="728" spans="1:4" ht="26.25">
      <c r="A728" s="25">
        <v>10</v>
      </c>
      <c r="B728" s="35" t="s">
        <v>697</v>
      </c>
      <c r="C728" s="27"/>
      <c r="D728" s="36"/>
    </row>
    <row r="729" spans="1:4" ht="26.25">
      <c r="A729" s="63" t="s">
        <v>698</v>
      </c>
      <c r="B729" s="64"/>
      <c r="C729" s="64"/>
      <c r="D729" s="65"/>
    </row>
    <row r="730" spans="1:4" ht="26.25">
      <c r="A730" s="25">
        <v>11</v>
      </c>
      <c r="B730" s="35" t="s">
        <v>699</v>
      </c>
      <c r="C730" s="27"/>
      <c r="D730" s="36"/>
    </row>
    <row r="731" spans="1:4" ht="56.25">
      <c r="A731" s="25">
        <v>12</v>
      </c>
      <c r="B731" s="35" t="s">
        <v>700</v>
      </c>
      <c r="C731" s="27"/>
      <c r="D731" s="36"/>
    </row>
    <row r="732" spans="1:4" ht="131.25">
      <c r="A732" s="25">
        <v>13</v>
      </c>
      <c r="B732" s="35" t="s">
        <v>701</v>
      </c>
      <c r="C732" s="27"/>
      <c r="D732" s="36"/>
    </row>
    <row r="733" spans="1:4" ht="26.25">
      <c r="A733" s="25">
        <v>14</v>
      </c>
      <c r="B733" s="35" t="s">
        <v>702</v>
      </c>
      <c r="C733" s="27"/>
      <c r="D733" s="36"/>
    </row>
    <row r="734" spans="1:4" ht="75">
      <c r="A734" s="25">
        <v>15</v>
      </c>
      <c r="B734" s="35" t="s">
        <v>703</v>
      </c>
      <c r="C734" s="27"/>
      <c r="D734" s="36"/>
    </row>
    <row r="735" spans="1:4" ht="26.25">
      <c r="A735" s="63" t="s">
        <v>704</v>
      </c>
      <c r="B735" s="64"/>
      <c r="C735" s="64"/>
      <c r="D735" s="65"/>
    </row>
    <row r="736" spans="1:4" ht="26.25">
      <c r="A736" s="25">
        <v>16</v>
      </c>
      <c r="B736" s="35" t="s">
        <v>705</v>
      </c>
      <c r="C736" s="27"/>
      <c r="D736" s="36"/>
    </row>
    <row r="737" spans="1:4" ht="187.5">
      <c r="A737" s="25">
        <v>17</v>
      </c>
      <c r="B737" s="35" t="s">
        <v>706</v>
      </c>
      <c r="C737" s="27"/>
      <c r="D737" s="56"/>
    </row>
    <row r="738" spans="1:4" ht="26.25">
      <c r="A738" s="63" t="s">
        <v>98</v>
      </c>
      <c r="B738" s="64"/>
      <c r="C738" s="64"/>
      <c r="D738" s="65"/>
    </row>
    <row r="739" spans="1:4" ht="26.25">
      <c r="A739" s="25">
        <v>18</v>
      </c>
      <c r="B739" s="35" t="s">
        <v>707</v>
      </c>
      <c r="C739" s="27"/>
      <c r="D739" s="36" t="s">
        <v>708</v>
      </c>
    </row>
    <row r="740" spans="1:4" ht="26.25">
      <c r="A740" s="25">
        <v>19</v>
      </c>
      <c r="B740" s="35" t="s">
        <v>709</v>
      </c>
      <c r="C740" s="27"/>
      <c r="D740" s="36"/>
    </row>
    <row r="741" spans="1:4" ht="56.25">
      <c r="A741" s="25">
        <v>20</v>
      </c>
      <c r="B741" s="35" t="s">
        <v>710</v>
      </c>
      <c r="C741" s="27"/>
      <c r="D741" s="36"/>
    </row>
    <row r="742" spans="1:4" ht="56.25">
      <c r="A742" s="25">
        <v>21</v>
      </c>
      <c r="B742" s="35" t="s">
        <v>711</v>
      </c>
      <c r="C742" s="27"/>
      <c r="D742" s="36"/>
    </row>
    <row r="743" spans="1:4" ht="93.75">
      <c r="A743" s="25">
        <v>22</v>
      </c>
      <c r="B743" s="35" t="s">
        <v>712</v>
      </c>
      <c r="C743" s="27"/>
      <c r="D743" s="36"/>
    </row>
    <row r="744" spans="1:4" ht="26.25">
      <c r="A744" s="25">
        <v>23</v>
      </c>
      <c r="B744" s="35" t="s">
        <v>713</v>
      </c>
      <c r="C744" s="27"/>
      <c r="D744" s="36"/>
    </row>
    <row r="745" spans="1:4" ht="26.25">
      <c r="A745" s="25">
        <v>24</v>
      </c>
      <c r="B745" s="35" t="s">
        <v>714</v>
      </c>
      <c r="C745" s="27"/>
      <c r="D745" s="36"/>
    </row>
    <row r="746" spans="1:4" ht="56.25">
      <c r="A746" s="25">
        <v>25</v>
      </c>
      <c r="B746" s="35" t="s">
        <v>715</v>
      </c>
      <c r="C746" s="27"/>
      <c r="D746" s="36"/>
    </row>
    <row r="747" spans="1:4" ht="26.25">
      <c r="A747" s="63" t="s">
        <v>716</v>
      </c>
      <c r="B747" s="64"/>
      <c r="C747" s="64"/>
      <c r="D747" s="65"/>
    </row>
    <row r="748" spans="1:4" ht="26.25">
      <c r="A748" s="25">
        <v>26</v>
      </c>
      <c r="B748" s="35" t="s">
        <v>717</v>
      </c>
      <c r="C748" s="27"/>
      <c r="D748" s="36"/>
    </row>
    <row r="749" spans="1:4" ht="26.25">
      <c r="A749" s="25">
        <v>27</v>
      </c>
      <c r="B749" s="35" t="s">
        <v>718</v>
      </c>
      <c r="C749" s="27"/>
      <c r="D749" s="36"/>
    </row>
    <row r="750" spans="1:4" ht="26.25">
      <c r="A750" s="81" t="s">
        <v>397</v>
      </c>
      <c r="B750" s="82"/>
      <c r="C750" s="83"/>
      <c r="D750" s="29" t="str">
        <f>IF(COUNT(C718:C749)=0,"N/A",SUM((C718:C749))/(COUNT((C718:C749))*2))</f>
        <v>N/A</v>
      </c>
    </row>
    <row r="751" spans="1:4" ht="26.25">
      <c r="A751" s="84" t="s">
        <v>719</v>
      </c>
      <c r="B751" s="85"/>
      <c r="C751" s="85"/>
      <c r="D751" s="86"/>
    </row>
    <row r="752" spans="1:4" ht="26.25">
      <c r="A752" s="63" t="s">
        <v>720</v>
      </c>
      <c r="B752" s="64"/>
      <c r="C752" s="64"/>
      <c r="D752" s="65"/>
    </row>
    <row r="753" spans="1:4" ht="168.75">
      <c r="A753" s="25">
        <v>1</v>
      </c>
      <c r="B753" s="35" t="s">
        <v>721</v>
      </c>
      <c r="C753" s="27"/>
      <c r="D753" s="36"/>
    </row>
    <row r="754" spans="1:4" ht="26.25">
      <c r="A754" s="25">
        <v>2</v>
      </c>
      <c r="B754" s="35" t="s">
        <v>722</v>
      </c>
      <c r="C754" s="27"/>
      <c r="D754" s="36"/>
    </row>
    <row r="755" spans="1:4" ht="26.25">
      <c r="A755" s="25">
        <v>3</v>
      </c>
      <c r="B755" s="35" t="s">
        <v>723</v>
      </c>
      <c r="C755" s="27"/>
      <c r="D755" s="36"/>
    </row>
    <row r="756" spans="1:4" ht="26.25">
      <c r="A756" s="25">
        <v>4</v>
      </c>
      <c r="B756" s="35" t="s">
        <v>724</v>
      </c>
      <c r="C756" s="27"/>
      <c r="D756" s="36"/>
    </row>
    <row r="757" spans="1:4" ht="93.75">
      <c r="A757" s="25">
        <v>5</v>
      </c>
      <c r="B757" s="35" t="s">
        <v>725</v>
      </c>
      <c r="C757" s="27"/>
      <c r="D757" s="36"/>
    </row>
    <row r="758" spans="1:4" ht="26.25">
      <c r="A758" s="25">
        <v>6</v>
      </c>
      <c r="B758" s="35" t="s">
        <v>692</v>
      </c>
      <c r="C758" s="27"/>
      <c r="D758" s="36"/>
    </row>
    <row r="759" spans="1:4" ht="26.25">
      <c r="A759" s="63" t="s">
        <v>726</v>
      </c>
      <c r="B759" s="64"/>
      <c r="C759" s="64"/>
      <c r="D759" s="65"/>
    </row>
    <row r="760" spans="1:4" ht="75">
      <c r="A760" s="25">
        <v>7</v>
      </c>
      <c r="B760" s="35" t="s">
        <v>694</v>
      </c>
      <c r="C760" s="27"/>
      <c r="D760" s="36"/>
    </row>
    <row r="761" spans="1:4" ht="26.25">
      <c r="A761" s="25">
        <v>8</v>
      </c>
      <c r="B761" s="35" t="s">
        <v>727</v>
      </c>
      <c r="C761" s="27"/>
      <c r="D761" s="36"/>
    </row>
    <row r="762" spans="1:4" ht="26.25">
      <c r="A762" s="25">
        <v>9</v>
      </c>
      <c r="B762" s="35" t="s">
        <v>728</v>
      </c>
      <c r="C762" s="27"/>
      <c r="D762" s="36"/>
    </row>
    <row r="763" spans="1:4" ht="26.25">
      <c r="A763" s="25">
        <v>10</v>
      </c>
      <c r="B763" s="35" t="s">
        <v>729</v>
      </c>
      <c r="C763" s="27"/>
      <c r="D763" s="36"/>
    </row>
    <row r="764" spans="1:4" ht="26.25">
      <c r="A764" s="25">
        <v>11</v>
      </c>
      <c r="B764" s="35" t="s">
        <v>730</v>
      </c>
      <c r="C764" s="27"/>
      <c r="D764" s="36"/>
    </row>
    <row r="765" spans="1:4" ht="26.25">
      <c r="A765" s="25">
        <v>12</v>
      </c>
      <c r="B765" s="35" t="s">
        <v>731</v>
      </c>
      <c r="C765" s="27"/>
      <c r="D765" s="36"/>
    </row>
    <row r="766" spans="1:4" ht="26.25">
      <c r="A766" s="25">
        <v>13</v>
      </c>
      <c r="B766" s="35" t="s">
        <v>732</v>
      </c>
      <c r="C766" s="27"/>
      <c r="D766" s="36"/>
    </row>
    <row r="767" spans="1:4" ht="26.25">
      <c r="A767" s="63" t="s">
        <v>733</v>
      </c>
      <c r="B767" s="64"/>
      <c r="C767" s="64"/>
      <c r="D767" s="65"/>
    </row>
    <row r="768" spans="1:4" ht="26.25">
      <c r="A768" s="25">
        <v>14</v>
      </c>
      <c r="B768" s="35" t="s">
        <v>734</v>
      </c>
      <c r="C768" s="27"/>
      <c r="D768" s="36"/>
    </row>
    <row r="769" spans="1:4" ht="75">
      <c r="A769" s="25">
        <v>15</v>
      </c>
      <c r="B769" s="35" t="s">
        <v>735</v>
      </c>
      <c r="C769" s="27"/>
      <c r="D769" s="36"/>
    </row>
    <row r="770" spans="1:4" ht="26.25">
      <c r="A770" s="25">
        <v>16</v>
      </c>
      <c r="B770" s="35" t="s">
        <v>736</v>
      </c>
      <c r="C770" s="27"/>
      <c r="D770" s="36"/>
    </row>
    <row r="771" spans="1:4" ht="26.25">
      <c r="A771" s="25">
        <v>17</v>
      </c>
      <c r="B771" s="35" t="s">
        <v>737</v>
      </c>
      <c r="C771" s="27"/>
      <c r="D771" s="36"/>
    </row>
    <row r="772" spans="1:4" ht="26.25">
      <c r="A772" s="63" t="s">
        <v>738</v>
      </c>
      <c r="B772" s="64"/>
      <c r="C772" s="64"/>
      <c r="D772" s="65"/>
    </row>
    <row r="773" spans="1:4" ht="26.25">
      <c r="A773" s="25">
        <v>18</v>
      </c>
      <c r="B773" s="35" t="s">
        <v>739</v>
      </c>
      <c r="C773" s="27"/>
      <c r="D773" s="36"/>
    </row>
    <row r="774" spans="1:4" ht="26.25">
      <c r="A774" s="25">
        <v>19</v>
      </c>
      <c r="B774" s="35" t="s">
        <v>740</v>
      </c>
      <c r="C774" s="27"/>
      <c r="D774" s="36"/>
    </row>
    <row r="775" spans="1:4" ht="26.25">
      <c r="A775" s="25">
        <v>20</v>
      </c>
      <c r="B775" s="35" t="s">
        <v>741</v>
      </c>
      <c r="C775" s="27"/>
      <c r="D775" s="36"/>
    </row>
    <row r="776" spans="1:4" ht="26.25">
      <c r="A776" s="25">
        <v>21</v>
      </c>
      <c r="B776" s="35" t="s">
        <v>742</v>
      </c>
      <c r="C776" s="27"/>
      <c r="D776" s="36"/>
    </row>
    <row r="777" spans="1:4" ht="26.25">
      <c r="A777" s="25">
        <v>22</v>
      </c>
      <c r="B777" s="35" t="s">
        <v>743</v>
      </c>
      <c r="C777" s="27"/>
      <c r="D777" s="36"/>
    </row>
    <row r="778" spans="1:4" ht="26.25">
      <c r="A778" s="81" t="s">
        <v>397</v>
      </c>
      <c r="B778" s="82"/>
      <c r="C778" s="83"/>
      <c r="D778" s="29" t="str">
        <f>IF(COUNT(C753:C777)=0,"N/A",SUM((C753:C777))/(COUNT((C753:C777))*2))</f>
        <v>N/A</v>
      </c>
    </row>
    <row r="779" spans="1:4" ht="26.25">
      <c r="A779" s="84" t="s">
        <v>744</v>
      </c>
      <c r="B779" s="85"/>
      <c r="C779" s="85"/>
      <c r="D779" s="86"/>
    </row>
    <row r="780" spans="1:4" ht="26.25">
      <c r="A780" s="63" t="s">
        <v>745</v>
      </c>
      <c r="B780" s="64"/>
      <c r="C780" s="64"/>
      <c r="D780" s="65"/>
    </row>
    <row r="781" spans="1:4" ht="187.5">
      <c r="A781" s="25">
        <v>1</v>
      </c>
      <c r="B781" s="35" t="s">
        <v>746</v>
      </c>
      <c r="C781" s="27"/>
      <c r="D781" s="57"/>
    </row>
    <row r="782" spans="1:4" ht="26.25">
      <c r="A782" s="63" t="s">
        <v>747</v>
      </c>
      <c r="B782" s="64"/>
      <c r="C782" s="64"/>
      <c r="D782" s="65"/>
    </row>
    <row r="783" spans="1:4" ht="37.5">
      <c r="A783" s="25">
        <v>2</v>
      </c>
      <c r="B783" s="35" t="s">
        <v>748</v>
      </c>
      <c r="C783" s="27"/>
      <c r="D783" s="36"/>
    </row>
    <row r="784" spans="1:4" ht="26.25">
      <c r="A784" s="25">
        <v>3</v>
      </c>
      <c r="B784" s="35" t="s">
        <v>749</v>
      </c>
      <c r="C784" s="27"/>
      <c r="D784" s="36"/>
    </row>
    <row r="785" spans="1:4" ht="26.25">
      <c r="A785" s="63" t="s">
        <v>750</v>
      </c>
      <c r="B785" s="64"/>
      <c r="C785" s="64"/>
      <c r="D785" s="65"/>
    </row>
    <row r="786" spans="1:4" ht="93.75">
      <c r="A786" s="25">
        <v>4</v>
      </c>
      <c r="B786" s="35" t="s">
        <v>751</v>
      </c>
      <c r="C786" s="27"/>
      <c r="D786" s="36"/>
    </row>
    <row r="787" spans="1:4" ht="37.5">
      <c r="A787" s="25">
        <v>5</v>
      </c>
      <c r="B787" s="35" t="s">
        <v>752</v>
      </c>
      <c r="C787" s="27"/>
      <c r="D787" s="36"/>
    </row>
    <row r="788" spans="1:4" ht="112.5">
      <c r="A788" s="25">
        <v>6</v>
      </c>
      <c r="B788" s="35" t="s">
        <v>753</v>
      </c>
      <c r="C788" s="27"/>
      <c r="D788" s="36"/>
    </row>
    <row r="789" spans="1:4" ht="112.5">
      <c r="A789" s="25">
        <v>7</v>
      </c>
      <c r="B789" s="35" t="s">
        <v>754</v>
      </c>
      <c r="C789" s="27"/>
      <c r="D789" s="36"/>
    </row>
    <row r="790" spans="1:4" ht="26.25">
      <c r="A790" s="25">
        <v>8</v>
      </c>
      <c r="B790" s="35" t="s">
        <v>755</v>
      </c>
      <c r="C790" s="27"/>
      <c r="D790" s="36"/>
    </row>
    <row r="791" spans="1:4" ht="26.25">
      <c r="A791" s="63" t="s">
        <v>756</v>
      </c>
      <c r="B791" s="64"/>
      <c r="C791" s="64"/>
      <c r="D791" s="65"/>
    </row>
    <row r="792" spans="1:4" ht="26.25">
      <c r="A792" s="25">
        <v>9</v>
      </c>
      <c r="B792" s="35" t="s">
        <v>757</v>
      </c>
      <c r="C792" s="27"/>
      <c r="D792" s="36"/>
    </row>
    <row r="793" spans="1:4" ht="26.25">
      <c r="A793" s="25">
        <v>10</v>
      </c>
      <c r="B793" s="35" t="s">
        <v>758</v>
      </c>
      <c r="C793" s="27"/>
      <c r="D793" s="36"/>
    </row>
    <row r="794" spans="1:4" ht="26.25">
      <c r="A794" s="25">
        <v>11</v>
      </c>
      <c r="B794" s="35" t="s">
        <v>759</v>
      </c>
      <c r="C794" s="27"/>
      <c r="D794" s="36"/>
    </row>
    <row r="795" spans="1:4" ht="75">
      <c r="A795" s="25">
        <v>12</v>
      </c>
      <c r="B795" s="35" t="s">
        <v>760</v>
      </c>
      <c r="C795" s="27"/>
      <c r="D795" s="36"/>
    </row>
    <row r="796" spans="1:4" ht="26.25">
      <c r="A796" s="25">
        <v>13</v>
      </c>
      <c r="B796" s="35" t="s">
        <v>761</v>
      </c>
      <c r="C796" s="27"/>
      <c r="D796" s="36"/>
    </row>
    <row r="797" spans="1:4" ht="26.25">
      <c r="A797" s="25">
        <v>14</v>
      </c>
      <c r="B797" s="35" t="s">
        <v>762</v>
      </c>
      <c r="C797" s="27"/>
      <c r="D797" s="57"/>
    </row>
    <row r="798" spans="1:4" ht="26.25">
      <c r="A798" s="25">
        <v>15</v>
      </c>
      <c r="B798" s="35" t="s">
        <v>763</v>
      </c>
      <c r="C798" s="27"/>
      <c r="D798" s="36"/>
    </row>
    <row r="799" spans="1:4" ht="26.25">
      <c r="A799" s="25">
        <v>16</v>
      </c>
      <c r="B799" s="35" t="s">
        <v>764</v>
      </c>
      <c r="C799" s="27"/>
      <c r="D799" s="36"/>
    </row>
    <row r="800" spans="1:4" ht="26.25">
      <c r="A800" s="25">
        <v>17</v>
      </c>
      <c r="B800" s="35" t="s">
        <v>765</v>
      </c>
      <c r="C800" s="27"/>
      <c r="D800" s="36"/>
    </row>
    <row r="801" spans="1:4" ht="26.25">
      <c r="A801" s="25">
        <v>18</v>
      </c>
      <c r="B801" s="35" t="s">
        <v>766</v>
      </c>
      <c r="C801" s="27"/>
      <c r="D801" s="36"/>
    </row>
    <row r="802" spans="1:4" ht="26.25">
      <c r="A802" s="25">
        <v>19</v>
      </c>
      <c r="B802" s="35" t="s">
        <v>767</v>
      </c>
      <c r="C802" s="27"/>
      <c r="D802" s="36"/>
    </row>
    <row r="803" spans="1:4" ht="26.25">
      <c r="A803" s="25">
        <v>20</v>
      </c>
      <c r="B803" s="35" t="s">
        <v>768</v>
      </c>
      <c r="C803" s="27"/>
      <c r="D803" s="36"/>
    </row>
    <row r="804" spans="1:4" ht="26.25">
      <c r="A804" s="81" t="s">
        <v>769</v>
      </c>
      <c r="B804" s="82"/>
      <c r="C804" s="83"/>
      <c r="D804" s="29" t="str">
        <f>IF(COUNT(C781:C803)=0,"N/A",SUM((C781:C803))/(COUNT((C781:C803))*2))</f>
        <v>N/A</v>
      </c>
    </row>
    <row r="805" spans="1:4" ht="26.25">
      <c r="A805" s="84" t="s">
        <v>770</v>
      </c>
      <c r="B805" s="85"/>
      <c r="C805" s="85"/>
      <c r="D805" s="86"/>
    </row>
    <row r="806" spans="1:4" ht="26.25">
      <c r="A806" s="63" t="s">
        <v>771</v>
      </c>
      <c r="B806" s="64"/>
      <c r="C806" s="64"/>
      <c r="D806" s="65"/>
    </row>
    <row r="807" spans="1:4" ht="37.5">
      <c r="A807" s="25">
        <v>1</v>
      </c>
      <c r="B807" s="35" t="s">
        <v>772</v>
      </c>
      <c r="C807" s="27"/>
      <c r="D807" s="36"/>
    </row>
    <row r="808" spans="1:4" ht="37.5">
      <c r="A808" s="25">
        <v>2</v>
      </c>
      <c r="B808" s="35" t="s">
        <v>773</v>
      </c>
      <c r="C808" s="27"/>
      <c r="D808" s="36"/>
    </row>
    <row r="809" spans="1:4" ht="150">
      <c r="A809" s="25">
        <v>3</v>
      </c>
      <c r="B809" s="35" t="s">
        <v>774</v>
      </c>
      <c r="C809" s="27"/>
      <c r="D809" s="36"/>
    </row>
    <row r="810" spans="1:4" ht="26.25">
      <c r="A810" s="25">
        <v>4</v>
      </c>
      <c r="B810" s="35" t="s">
        <v>775</v>
      </c>
      <c r="C810" s="27"/>
      <c r="D810" s="36"/>
    </row>
    <row r="811" spans="1:4" ht="26.25">
      <c r="A811" s="25">
        <v>5</v>
      </c>
      <c r="B811" s="35" t="s">
        <v>776</v>
      </c>
      <c r="C811" s="27"/>
      <c r="D811" s="36"/>
    </row>
    <row r="812" spans="1:4" ht="26.25">
      <c r="A812" s="25">
        <v>6</v>
      </c>
      <c r="B812" s="35" t="s">
        <v>777</v>
      </c>
      <c r="C812" s="27"/>
      <c r="D812" s="36"/>
    </row>
    <row r="813" spans="1:4" ht="26.25">
      <c r="A813" s="25">
        <v>7</v>
      </c>
      <c r="B813" s="35" t="s">
        <v>778</v>
      </c>
      <c r="C813" s="27"/>
      <c r="D813" s="36"/>
    </row>
    <row r="814" spans="1:4" ht="37.5">
      <c r="A814" s="25">
        <v>8</v>
      </c>
      <c r="B814" s="35" t="s">
        <v>779</v>
      </c>
      <c r="C814" s="27"/>
      <c r="D814" s="36"/>
    </row>
    <row r="815" spans="1:4" ht="26.25">
      <c r="A815" s="25">
        <v>9</v>
      </c>
      <c r="B815" s="35" t="s">
        <v>780</v>
      </c>
      <c r="C815" s="27"/>
      <c r="D815" s="36"/>
    </row>
    <row r="816" spans="1:4" ht="56.25">
      <c r="A816" s="25">
        <v>10</v>
      </c>
      <c r="B816" s="35" t="s">
        <v>781</v>
      </c>
      <c r="C816" s="27"/>
      <c r="D816" s="36"/>
    </row>
    <row r="817" spans="1:4" ht="75">
      <c r="A817" s="25">
        <v>11</v>
      </c>
      <c r="B817" s="35" t="s">
        <v>782</v>
      </c>
      <c r="C817" s="27"/>
      <c r="D817" s="36"/>
    </row>
    <row r="818" spans="1:4" ht="26.25">
      <c r="A818" s="25">
        <v>12</v>
      </c>
      <c r="B818" s="35" t="s">
        <v>783</v>
      </c>
      <c r="C818" s="27"/>
      <c r="D818" s="36"/>
    </row>
    <row r="819" spans="1:4" ht="26.25">
      <c r="A819" s="25">
        <v>13</v>
      </c>
      <c r="B819" s="35" t="s">
        <v>784</v>
      </c>
      <c r="C819" s="27"/>
      <c r="D819" s="36"/>
    </row>
    <row r="820" spans="1:4" ht="56.25">
      <c r="A820" s="25">
        <v>14</v>
      </c>
      <c r="B820" s="35" t="s">
        <v>785</v>
      </c>
      <c r="C820" s="27"/>
      <c r="D820" s="36"/>
    </row>
    <row r="821" spans="1:4" ht="26.25">
      <c r="A821" s="81" t="s">
        <v>786</v>
      </c>
      <c r="B821" s="82"/>
      <c r="C821" s="83"/>
      <c r="D821" s="29" t="str">
        <f>IF(COUNT(C807:C820)=0,"N/A",SUM((C807:C820))/(COUNT((C807:C820))*2))</f>
        <v>N/A</v>
      </c>
    </row>
    <row r="822" spans="1:4" ht="26.25">
      <c r="A822" s="84" t="s">
        <v>787</v>
      </c>
      <c r="B822" s="85"/>
      <c r="C822" s="85"/>
      <c r="D822" s="86"/>
    </row>
    <row r="823" spans="1:4" ht="26.25">
      <c r="A823" s="25">
        <v>1</v>
      </c>
      <c r="B823" s="35" t="s">
        <v>788</v>
      </c>
      <c r="C823" s="27"/>
      <c r="D823" s="36"/>
    </row>
    <row r="824" spans="1:4" ht="26.25">
      <c r="A824" s="25">
        <v>2</v>
      </c>
      <c r="B824" s="35" t="s">
        <v>789</v>
      </c>
      <c r="C824" s="27"/>
      <c r="D824" s="36"/>
    </row>
    <row r="825" spans="1:4" ht="26.25">
      <c r="A825" s="25">
        <v>3</v>
      </c>
      <c r="B825" s="35" t="s">
        <v>790</v>
      </c>
      <c r="C825" s="27"/>
      <c r="D825" s="36"/>
    </row>
    <row r="826" spans="1:4" ht="26.25">
      <c r="A826" s="25">
        <v>4</v>
      </c>
      <c r="B826" s="35" t="s">
        <v>791</v>
      </c>
      <c r="C826" s="27"/>
      <c r="D826" s="36"/>
    </row>
    <row r="827" spans="1:4" ht="26.25">
      <c r="A827" s="25">
        <v>5</v>
      </c>
      <c r="B827" s="35" t="s">
        <v>792</v>
      </c>
      <c r="C827" s="27"/>
      <c r="D827" s="36"/>
    </row>
    <row r="828" spans="1:4" ht="225">
      <c r="A828" s="25">
        <v>6</v>
      </c>
      <c r="B828" s="35" t="s">
        <v>793</v>
      </c>
      <c r="C828" s="27"/>
      <c r="D828" s="36"/>
    </row>
    <row r="829" spans="1:4" ht="26.25">
      <c r="A829" s="25">
        <v>7</v>
      </c>
      <c r="B829" s="35" t="s">
        <v>794</v>
      </c>
      <c r="C829" s="27"/>
      <c r="D829" s="36"/>
    </row>
    <row r="830" spans="1:4" ht="26.25">
      <c r="A830" s="25">
        <v>8</v>
      </c>
      <c r="B830" s="35" t="s">
        <v>795</v>
      </c>
      <c r="C830" s="27"/>
      <c r="D830" s="36"/>
    </row>
    <row r="831" spans="1:4" ht="56.25">
      <c r="A831" s="25">
        <v>9</v>
      </c>
      <c r="B831" s="35" t="s">
        <v>796</v>
      </c>
      <c r="C831" s="27"/>
      <c r="D831" s="36"/>
    </row>
    <row r="832" spans="1:4" ht="75">
      <c r="A832" s="25">
        <v>10</v>
      </c>
      <c r="B832" s="35" t="s">
        <v>797</v>
      </c>
      <c r="C832" s="27"/>
      <c r="D832" s="36"/>
    </row>
    <row r="833" spans="1:4" ht="75">
      <c r="A833" s="25">
        <v>11</v>
      </c>
      <c r="B833" s="35" t="s">
        <v>798</v>
      </c>
      <c r="C833" s="27"/>
      <c r="D833" s="36"/>
    </row>
    <row r="834" spans="1:4" ht="26.25">
      <c r="A834" s="81" t="s">
        <v>397</v>
      </c>
      <c r="B834" s="82"/>
      <c r="C834" s="83"/>
      <c r="D834" s="29" t="str">
        <f>IF(COUNT(C823:C833)=0,"N/A",SUM((C823:C833))/(COUNT((C823:C833))*2))</f>
        <v>N/A</v>
      </c>
    </row>
    <row r="835" spans="1:4" ht="26.25">
      <c r="A835" s="87" t="s">
        <v>799</v>
      </c>
      <c r="B835" s="88"/>
      <c r="C835" s="88"/>
      <c r="D835" s="89"/>
    </row>
    <row r="836" spans="1:4" ht="26.25">
      <c r="A836" s="90" t="s">
        <v>800</v>
      </c>
      <c r="B836" s="91"/>
      <c r="C836" s="91"/>
      <c r="D836" s="92"/>
    </row>
    <row r="837" spans="1:4" ht="26.25">
      <c r="A837" s="25">
        <v>1</v>
      </c>
      <c r="B837" s="35" t="s">
        <v>801</v>
      </c>
      <c r="C837" s="27"/>
      <c r="D837" s="36"/>
    </row>
    <row r="838" spans="1:4" ht="150">
      <c r="A838" s="25">
        <v>2</v>
      </c>
      <c r="B838" s="35" t="s">
        <v>802</v>
      </c>
      <c r="C838" s="27"/>
      <c r="D838" s="36"/>
    </row>
    <row r="839" spans="1:4" ht="26.25">
      <c r="A839" s="25">
        <v>3</v>
      </c>
      <c r="B839" s="35" t="s">
        <v>803</v>
      </c>
      <c r="C839" s="27"/>
      <c r="D839" s="36"/>
    </row>
    <row r="840" spans="1:4" ht="37.5">
      <c r="A840" s="25">
        <v>4</v>
      </c>
      <c r="B840" s="35" t="s">
        <v>804</v>
      </c>
      <c r="C840" s="27"/>
      <c r="D840" s="36"/>
    </row>
    <row r="841" spans="1:4" ht="26.25">
      <c r="A841" s="25">
        <v>5</v>
      </c>
      <c r="B841" s="53" t="s">
        <v>805</v>
      </c>
      <c r="C841" s="27"/>
      <c r="D841" s="54"/>
    </row>
    <row r="842" spans="1:4" ht="26.25">
      <c r="A842" s="25">
        <v>6</v>
      </c>
      <c r="B842" s="53" t="s">
        <v>806</v>
      </c>
      <c r="C842" s="27"/>
      <c r="D842" s="54"/>
    </row>
    <row r="843" spans="1:4" ht="26.25">
      <c r="A843" s="63" t="s">
        <v>807</v>
      </c>
      <c r="B843" s="64"/>
      <c r="C843" s="64"/>
      <c r="D843" s="65"/>
    </row>
    <row r="844" spans="1:4" ht="150">
      <c r="A844" s="25">
        <v>7</v>
      </c>
      <c r="B844" s="35" t="s">
        <v>808</v>
      </c>
      <c r="C844" s="27"/>
      <c r="D844" s="36"/>
    </row>
    <row r="845" spans="1:4" ht="75">
      <c r="A845" s="25">
        <v>8</v>
      </c>
      <c r="B845" s="35" t="s">
        <v>809</v>
      </c>
      <c r="C845" s="27"/>
      <c r="D845" s="36"/>
    </row>
    <row r="846" spans="1:4" ht="26.25">
      <c r="A846" s="63" t="s">
        <v>98</v>
      </c>
      <c r="B846" s="64"/>
      <c r="C846" s="64"/>
      <c r="D846" s="65"/>
    </row>
    <row r="847" spans="1:4" ht="112.5">
      <c r="A847" s="25">
        <v>9</v>
      </c>
      <c r="B847" s="35" t="s">
        <v>810</v>
      </c>
      <c r="C847" s="27"/>
      <c r="D847" s="36"/>
    </row>
    <row r="848" spans="1:4" ht="26.25">
      <c r="A848" s="25">
        <v>10</v>
      </c>
      <c r="B848" s="35" t="s">
        <v>811</v>
      </c>
      <c r="C848" s="27"/>
      <c r="D848" s="36"/>
    </row>
    <row r="849" spans="1:4" ht="26.25">
      <c r="A849" s="25">
        <v>11</v>
      </c>
      <c r="B849" s="53" t="s">
        <v>812</v>
      </c>
      <c r="C849" s="27"/>
      <c r="D849" s="54"/>
    </row>
    <row r="850" spans="1:4" ht="26.25">
      <c r="A850" s="25">
        <v>12</v>
      </c>
      <c r="B850" s="35" t="s">
        <v>813</v>
      </c>
      <c r="C850" s="27"/>
      <c r="D850" s="36"/>
    </row>
    <row r="851" spans="1:4" ht="26.25">
      <c r="A851" s="90" t="s">
        <v>814</v>
      </c>
      <c r="B851" s="91"/>
      <c r="C851" s="91"/>
      <c r="D851" s="92"/>
    </row>
    <row r="852" spans="1:4" ht="75">
      <c r="A852" s="25">
        <v>13</v>
      </c>
      <c r="B852" s="35" t="s">
        <v>815</v>
      </c>
      <c r="C852" s="27"/>
      <c r="D852" s="36"/>
    </row>
    <row r="853" spans="1:4" ht="56.25">
      <c r="A853" s="25">
        <v>14</v>
      </c>
      <c r="B853" s="35" t="s">
        <v>816</v>
      </c>
      <c r="C853" s="27"/>
      <c r="D853" s="36"/>
    </row>
    <row r="854" spans="1:4" ht="93.75">
      <c r="A854" s="25">
        <v>15</v>
      </c>
      <c r="B854" s="35" t="s">
        <v>817</v>
      </c>
      <c r="C854" s="27"/>
      <c r="D854" s="36"/>
    </row>
    <row r="855" spans="1:4" ht="26.25">
      <c r="A855" s="63" t="s">
        <v>98</v>
      </c>
      <c r="B855" s="64"/>
      <c r="C855" s="64"/>
      <c r="D855" s="65"/>
    </row>
    <row r="856" spans="1:4" ht="187.5">
      <c r="A856" s="25">
        <v>16</v>
      </c>
      <c r="B856" s="35" t="s">
        <v>818</v>
      </c>
      <c r="C856" s="27"/>
      <c r="D856" s="36"/>
    </row>
    <row r="857" spans="1:4" ht="56.25">
      <c r="A857" s="25">
        <v>17</v>
      </c>
      <c r="B857" s="35" t="s">
        <v>819</v>
      </c>
      <c r="C857" s="27"/>
      <c r="D857" s="36"/>
    </row>
    <row r="858" spans="1:4" ht="56.25">
      <c r="A858" s="25">
        <v>18</v>
      </c>
      <c r="B858" s="35" t="s">
        <v>820</v>
      </c>
      <c r="C858" s="27"/>
      <c r="D858" s="36"/>
    </row>
    <row r="859" spans="1:4" ht="26.25">
      <c r="A859" s="25">
        <v>19</v>
      </c>
      <c r="B859" s="53" t="s">
        <v>821</v>
      </c>
      <c r="C859" s="27"/>
      <c r="D859" s="54"/>
    </row>
    <row r="860" spans="1:4" ht="26.25">
      <c r="A860" s="25">
        <v>20</v>
      </c>
      <c r="B860" s="53" t="s">
        <v>822</v>
      </c>
      <c r="C860" s="27"/>
      <c r="D860" s="54"/>
    </row>
    <row r="861" spans="1:4" ht="26.25">
      <c r="A861" s="90" t="s">
        <v>823</v>
      </c>
      <c r="B861" s="91"/>
      <c r="C861" s="91"/>
      <c r="D861" s="92"/>
    </row>
    <row r="862" spans="1:4" ht="26.25">
      <c r="A862" s="25">
        <v>21</v>
      </c>
      <c r="B862" s="35" t="s">
        <v>824</v>
      </c>
      <c r="C862" s="27"/>
      <c r="D862" s="36"/>
    </row>
    <row r="863" spans="1:4" ht="56.25">
      <c r="A863" s="25">
        <v>22</v>
      </c>
      <c r="B863" s="35" t="s">
        <v>825</v>
      </c>
      <c r="C863" s="27"/>
      <c r="D863" s="36"/>
    </row>
    <row r="864" spans="1:4" ht="375">
      <c r="A864" s="25">
        <v>23</v>
      </c>
      <c r="B864" s="35" t="s">
        <v>826</v>
      </c>
      <c r="C864" s="27"/>
      <c r="D864" s="36"/>
    </row>
    <row r="865" spans="1:4" ht="26.25">
      <c r="A865" s="63" t="s">
        <v>827</v>
      </c>
      <c r="B865" s="64"/>
      <c r="C865" s="64"/>
      <c r="D865" s="65"/>
    </row>
    <row r="866" spans="1:4" ht="318">
      <c r="A866" s="25">
        <v>24</v>
      </c>
      <c r="B866" s="35" t="s">
        <v>828</v>
      </c>
      <c r="C866" s="27"/>
      <c r="D866" s="36"/>
    </row>
    <row r="867" spans="1:4" ht="26.25">
      <c r="A867" s="25">
        <v>25</v>
      </c>
      <c r="B867" s="53" t="s">
        <v>829</v>
      </c>
      <c r="C867" s="27"/>
      <c r="D867" s="54"/>
    </row>
    <row r="868" spans="1:4" ht="26.25">
      <c r="A868" s="25">
        <v>26</v>
      </c>
      <c r="B868" s="53" t="s">
        <v>830</v>
      </c>
      <c r="C868" s="27"/>
      <c r="D868" s="54"/>
    </row>
    <row r="869" spans="1:4" ht="26.25">
      <c r="A869" s="25">
        <v>27</v>
      </c>
      <c r="B869" s="53" t="s">
        <v>831</v>
      </c>
      <c r="C869" s="27"/>
      <c r="D869" s="54"/>
    </row>
    <row r="870" spans="1:4" ht="26.25">
      <c r="A870" s="25">
        <v>28</v>
      </c>
      <c r="B870" s="53" t="s">
        <v>832</v>
      </c>
      <c r="C870" s="27"/>
      <c r="D870" s="54"/>
    </row>
    <row r="871" spans="1:4" ht="26.25">
      <c r="A871" s="25">
        <v>29</v>
      </c>
      <c r="B871" s="53" t="s">
        <v>833</v>
      </c>
      <c r="C871" s="27"/>
      <c r="D871" s="54"/>
    </row>
    <row r="872" spans="1:4" ht="26.25">
      <c r="A872" s="81" t="s">
        <v>397</v>
      </c>
      <c r="B872" s="82"/>
      <c r="C872" s="83"/>
      <c r="D872" s="29" t="str">
        <f>IF(COUNT(C837:C871)=0,"N/A",SUM((C837:C871))/(COUNT((C837:C871))*2))</f>
        <v>N/A</v>
      </c>
    </row>
    <row r="873" spans="1:4" ht="26.25">
      <c r="A873" s="84" t="s">
        <v>834</v>
      </c>
      <c r="B873" s="85"/>
      <c r="C873" s="85"/>
      <c r="D873" s="86"/>
    </row>
    <row r="874" spans="1:4" ht="26.25">
      <c r="A874" s="25">
        <v>1</v>
      </c>
      <c r="B874" s="35" t="s">
        <v>835</v>
      </c>
      <c r="C874" s="27"/>
      <c r="D874" s="58"/>
    </row>
    <row r="875" spans="1:4" ht="26.25">
      <c r="A875" s="25">
        <v>2</v>
      </c>
      <c r="B875" s="35" t="s">
        <v>836</v>
      </c>
      <c r="C875" s="27"/>
      <c r="D875" s="58"/>
    </row>
    <row r="876" spans="1:4" ht="26.25">
      <c r="A876" s="25">
        <v>3</v>
      </c>
      <c r="B876" s="35" t="s">
        <v>837</v>
      </c>
      <c r="C876" s="27"/>
      <c r="D876" s="58"/>
    </row>
    <row r="877" spans="1:4" ht="37.5">
      <c r="A877" s="25">
        <v>4</v>
      </c>
      <c r="B877" s="35" t="s">
        <v>838</v>
      </c>
      <c r="C877" s="27"/>
      <c r="D877" s="58"/>
    </row>
    <row r="878" spans="1:4" ht="26.25">
      <c r="A878" s="25">
        <v>5</v>
      </c>
      <c r="B878" s="35" t="s">
        <v>839</v>
      </c>
      <c r="C878" s="27"/>
      <c r="D878" s="58"/>
    </row>
    <row r="879" spans="1:4" ht="26.25">
      <c r="A879" s="81" t="s">
        <v>397</v>
      </c>
      <c r="B879" s="82"/>
      <c r="C879" s="83"/>
      <c r="D879" s="29" t="str">
        <f>IF(COUNT(C874:C878)=0,"N/A",SUM((C874:C878))/(COUNT((C874:C878))*2))</f>
        <v>N/A</v>
      </c>
    </row>
    <row r="880" spans="1:4" ht="26.25">
      <c r="A880" s="84" t="s">
        <v>840</v>
      </c>
      <c r="B880" s="85"/>
      <c r="C880" s="85"/>
      <c r="D880" s="86"/>
    </row>
    <row r="881" spans="1:4" ht="56.25">
      <c r="A881" s="25">
        <v>1</v>
      </c>
      <c r="B881" s="35" t="s">
        <v>841</v>
      </c>
      <c r="C881" s="27"/>
      <c r="D881" s="36"/>
    </row>
    <row r="882" spans="1:4" ht="75">
      <c r="A882" s="25">
        <v>2</v>
      </c>
      <c r="B882" s="35" t="s">
        <v>842</v>
      </c>
      <c r="C882" s="27"/>
      <c r="D882" s="36"/>
    </row>
    <row r="883" spans="1:4" ht="26.25">
      <c r="A883" s="25">
        <v>3</v>
      </c>
      <c r="B883" s="35" t="s">
        <v>843</v>
      </c>
      <c r="C883" s="27"/>
      <c r="D883" s="36"/>
    </row>
    <row r="884" spans="1:4" ht="26.25">
      <c r="A884" s="25">
        <v>4</v>
      </c>
      <c r="B884" s="35" t="s">
        <v>844</v>
      </c>
      <c r="C884" s="27"/>
      <c r="D884" s="36"/>
    </row>
    <row r="885" spans="1:4" ht="26.25">
      <c r="A885" s="25">
        <v>5</v>
      </c>
      <c r="B885" s="35" t="s">
        <v>845</v>
      </c>
      <c r="C885" s="27"/>
      <c r="D885" s="36"/>
    </row>
    <row r="886" spans="1:4" ht="56.25">
      <c r="A886" s="25">
        <v>6</v>
      </c>
      <c r="B886" s="35" t="s">
        <v>846</v>
      </c>
      <c r="C886" s="27"/>
      <c r="D886" s="36"/>
    </row>
    <row r="887" spans="1:4" ht="26.25">
      <c r="A887" s="25">
        <v>7</v>
      </c>
      <c r="B887" s="35" t="s">
        <v>847</v>
      </c>
      <c r="C887" s="27"/>
      <c r="D887" s="36"/>
    </row>
    <row r="888" spans="1:4" ht="26.25">
      <c r="A888" s="25">
        <v>8</v>
      </c>
      <c r="B888" s="35" t="s">
        <v>848</v>
      </c>
      <c r="C888" s="27"/>
      <c r="D888" s="36"/>
    </row>
    <row r="889" spans="1:4" ht="26.25">
      <c r="A889" s="25">
        <v>9</v>
      </c>
      <c r="B889" s="35" t="s">
        <v>849</v>
      </c>
      <c r="C889" s="27"/>
      <c r="D889" s="36"/>
    </row>
    <row r="890" spans="1:4" ht="26.25">
      <c r="A890" s="25">
        <v>10</v>
      </c>
      <c r="B890" s="35" t="s">
        <v>850</v>
      </c>
      <c r="C890" s="27"/>
      <c r="D890" s="36"/>
    </row>
    <row r="891" spans="1:4" ht="26.25">
      <c r="A891" s="25">
        <v>11</v>
      </c>
      <c r="B891" s="35" t="s">
        <v>851</v>
      </c>
      <c r="C891" s="27"/>
      <c r="D891" s="36"/>
    </row>
    <row r="892" spans="1:4" ht="150">
      <c r="A892" s="25">
        <v>12</v>
      </c>
      <c r="B892" s="35" t="s">
        <v>852</v>
      </c>
      <c r="C892" s="27"/>
      <c r="D892" s="36"/>
    </row>
    <row r="893" spans="1:4" ht="26.25">
      <c r="A893" s="25">
        <v>13</v>
      </c>
      <c r="B893" s="35" t="s">
        <v>853</v>
      </c>
      <c r="C893" s="27"/>
      <c r="D893" s="36"/>
    </row>
    <row r="894" spans="1:4" ht="26.25">
      <c r="A894" s="25">
        <v>14</v>
      </c>
      <c r="B894" s="35" t="s">
        <v>854</v>
      </c>
      <c r="C894" s="27"/>
      <c r="D894" s="36"/>
    </row>
    <row r="895" spans="1:4" ht="26.25">
      <c r="A895" s="25">
        <v>15</v>
      </c>
      <c r="B895" s="35" t="s">
        <v>855</v>
      </c>
      <c r="C895" s="27"/>
      <c r="D895" s="36"/>
    </row>
    <row r="896" spans="1:4" ht="26.25">
      <c r="A896" s="81" t="s">
        <v>72</v>
      </c>
      <c r="B896" s="82"/>
      <c r="C896" s="82"/>
      <c r="D896" s="29" t="str">
        <f>IF(COUNT(C881:C895)=0,"N/A",SUM((C881:C895))/(COUNT((C881:C895))*2))</f>
        <v>N/A</v>
      </c>
    </row>
    <row r="897" spans="1:4" ht="26.25">
      <c r="A897" s="84" t="s">
        <v>856</v>
      </c>
      <c r="B897" s="85"/>
      <c r="C897" s="85"/>
      <c r="D897" s="86"/>
    </row>
    <row r="898" spans="1:4" ht="26.25">
      <c r="A898" s="63" t="s">
        <v>857</v>
      </c>
      <c r="B898" s="64"/>
      <c r="C898" s="64"/>
      <c r="D898" s="65"/>
    </row>
    <row r="899" spans="1:4" ht="37.5">
      <c r="A899" s="25">
        <v>1</v>
      </c>
      <c r="B899" s="35" t="s">
        <v>858</v>
      </c>
      <c r="C899" s="27"/>
      <c r="D899" s="36"/>
    </row>
    <row r="900" spans="1:4" ht="26.25">
      <c r="A900" s="25"/>
      <c r="B900" s="35" t="s">
        <v>859</v>
      </c>
      <c r="C900" s="27"/>
      <c r="D900" s="36"/>
    </row>
    <row r="901" spans="1:4" ht="26.25">
      <c r="A901" s="25">
        <v>2</v>
      </c>
      <c r="B901" s="35" t="s">
        <v>860</v>
      </c>
      <c r="C901" s="27"/>
      <c r="D901" s="36"/>
    </row>
    <row r="902" spans="1:4" ht="26.25">
      <c r="A902" s="25">
        <v>3</v>
      </c>
      <c r="B902" s="35" t="s">
        <v>861</v>
      </c>
      <c r="C902" s="27"/>
      <c r="D902" s="36"/>
    </row>
    <row r="903" spans="1:4" ht="37.5">
      <c r="A903" s="25">
        <v>4</v>
      </c>
      <c r="B903" s="35" t="s">
        <v>862</v>
      </c>
      <c r="C903" s="27"/>
      <c r="D903" s="36"/>
    </row>
    <row r="904" spans="1:4" ht="26.25">
      <c r="A904" s="25">
        <v>5</v>
      </c>
      <c r="B904" s="35" t="s">
        <v>863</v>
      </c>
      <c r="C904" s="27"/>
      <c r="D904" s="36"/>
    </row>
    <row r="905" spans="1:4" ht="26.25">
      <c r="A905" s="25">
        <v>6</v>
      </c>
      <c r="B905" s="35" t="s">
        <v>864</v>
      </c>
      <c r="C905" s="27"/>
      <c r="D905" s="36"/>
    </row>
    <row r="906" spans="1:4" ht="37.5">
      <c r="A906" s="25">
        <v>7</v>
      </c>
      <c r="B906" s="35" t="s">
        <v>865</v>
      </c>
      <c r="C906" s="27"/>
      <c r="D906" s="36"/>
    </row>
    <row r="907" spans="1:4" ht="26.25">
      <c r="A907" s="25">
        <v>8</v>
      </c>
      <c r="B907" s="35" t="s">
        <v>866</v>
      </c>
      <c r="C907" s="27"/>
      <c r="D907" s="36"/>
    </row>
    <row r="908" spans="1:4" ht="26.25">
      <c r="A908" s="25">
        <v>9</v>
      </c>
      <c r="B908" s="35" t="s">
        <v>867</v>
      </c>
      <c r="C908" s="27"/>
      <c r="D908" s="36"/>
    </row>
    <row r="909" spans="1:4" ht="37.5">
      <c r="A909" s="25">
        <v>10</v>
      </c>
      <c r="B909" s="35" t="s">
        <v>858</v>
      </c>
      <c r="C909" s="27"/>
      <c r="D909" s="36"/>
    </row>
    <row r="910" spans="1:4" ht="26.25">
      <c r="A910" s="63" t="s">
        <v>868</v>
      </c>
      <c r="B910" s="64"/>
      <c r="C910" s="64"/>
      <c r="D910" s="65"/>
    </row>
    <row r="911" spans="1:4" ht="26.25">
      <c r="A911" s="25">
        <v>11</v>
      </c>
      <c r="B911" s="35" t="s">
        <v>869</v>
      </c>
      <c r="C911" s="27"/>
      <c r="D911" s="36"/>
    </row>
    <row r="912" spans="1:4" ht="26.25">
      <c r="A912" s="25">
        <v>12</v>
      </c>
      <c r="B912" s="35" t="s">
        <v>870</v>
      </c>
      <c r="C912" s="27"/>
      <c r="D912" s="36"/>
    </row>
    <row r="913" spans="1:4" ht="26.25">
      <c r="A913" s="25">
        <v>13</v>
      </c>
      <c r="B913" s="35" t="s">
        <v>871</v>
      </c>
      <c r="C913" s="27"/>
      <c r="D913" s="36"/>
    </row>
    <row r="914" spans="1:4" ht="26.25">
      <c r="A914" s="25">
        <v>14</v>
      </c>
      <c r="B914" s="35" t="s">
        <v>872</v>
      </c>
      <c r="C914" s="27"/>
      <c r="D914" s="36"/>
    </row>
    <row r="915" spans="1:4" ht="26.25">
      <c r="A915" s="25">
        <v>15</v>
      </c>
      <c r="B915" s="35" t="s">
        <v>873</v>
      </c>
      <c r="C915" s="27"/>
      <c r="D915" s="36"/>
    </row>
    <row r="916" spans="1:4" ht="26.25">
      <c r="A916" s="25">
        <v>16</v>
      </c>
      <c r="B916" s="35" t="s">
        <v>874</v>
      </c>
      <c r="C916" s="27"/>
      <c r="D916" s="36"/>
    </row>
    <row r="917" spans="1:4" ht="26.25">
      <c r="A917" s="25">
        <v>17</v>
      </c>
      <c r="B917" s="35" t="s">
        <v>875</v>
      </c>
      <c r="C917" s="27"/>
      <c r="D917" s="36"/>
    </row>
    <row r="918" spans="1:4" ht="26.25">
      <c r="A918" s="25">
        <v>18</v>
      </c>
      <c r="B918" s="35" t="s">
        <v>876</v>
      </c>
      <c r="C918" s="27"/>
      <c r="D918" s="36"/>
    </row>
    <row r="919" spans="1:4" ht="26.25">
      <c r="A919" s="25">
        <v>19</v>
      </c>
      <c r="B919" s="35" t="s">
        <v>877</v>
      </c>
      <c r="C919" s="27"/>
      <c r="D919" s="36"/>
    </row>
    <row r="920" spans="1:4" ht="26.25">
      <c r="A920" s="25">
        <v>20</v>
      </c>
      <c r="B920" s="35" t="s">
        <v>878</v>
      </c>
      <c r="C920" s="27"/>
      <c r="D920" s="36"/>
    </row>
    <row r="921" spans="1:4" ht="26.25">
      <c r="A921" s="25">
        <v>21</v>
      </c>
      <c r="B921" s="35" t="s">
        <v>879</v>
      </c>
      <c r="C921" s="27"/>
      <c r="D921" s="36"/>
    </row>
    <row r="922" spans="1:4" ht="26.25">
      <c r="A922" s="25">
        <v>22</v>
      </c>
      <c r="B922" s="35" t="s">
        <v>880</v>
      </c>
      <c r="C922" s="27"/>
      <c r="D922" s="36"/>
    </row>
    <row r="923" spans="1:4" ht="26.25">
      <c r="A923" s="25">
        <v>23</v>
      </c>
      <c r="B923" s="35" t="s">
        <v>881</v>
      </c>
      <c r="C923" s="27"/>
      <c r="D923" s="36"/>
    </row>
    <row r="924" spans="1:4" ht="26.25">
      <c r="A924" s="25">
        <v>24</v>
      </c>
      <c r="B924" s="35" t="s">
        <v>882</v>
      </c>
      <c r="C924" s="27"/>
      <c r="D924" s="36"/>
    </row>
    <row r="925" spans="1:4" ht="26.25">
      <c r="A925" s="25">
        <v>25</v>
      </c>
      <c r="B925" s="35" t="s">
        <v>883</v>
      </c>
      <c r="C925" s="27"/>
      <c r="D925" s="36"/>
    </row>
    <row r="926" spans="1:4" ht="26.25">
      <c r="A926" s="63" t="s">
        <v>144</v>
      </c>
      <c r="B926" s="64"/>
      <c r="C926" s="64"/>
      <c r="D926" s="65"/>
    </row>
    <row r="927" spans="1:4" ht="75">
      <c r="A927" s="25">
        <v>26</v>
      </c>
      <c r="B927" s="35" t="s">
        <v>884</v>
      </c>
      <c r="C927" s="27"/>
      <c r="D927" s="36"/>
    </row>
    <row r="928" spans="1:4" ht="37.5">
      <c r="A928" s="25">
        <v>27</v>
      </c>
      <c r="B928" s="35" t="s">
        <v>885</v>
      </c>
      <c r="C928" s="27"/>
      <c r="D928" s="36"/>
    </row>
    <row r="929" spans="1:4" ht="26.25">
      <c r="A929" s="25">
        <v>28</v>
      </c>
      <c r="B929" s="35" t="s">
        <v>886</v>
      </c>
      <c r="C929" s="27"/>
      <c r="D929" s="36"/>
    </row>
    <row r="930" spans="1:4" ht="26.25">
      <c r="A930" s="63" t="s">
        <v>887</v>
      </c>
      <c r="B930" s="64"/>
      <c r="C930" s="64"/>
      <c r="D930" s="65"/>
    </row>
    <row r="931" spans="1:4" ht="26.25">
      <c r="A931" s="25">
        <v>29</v>
      </c>
      <c r="B931" s="35" t="s">
        <v>888</v>
      </c>
      <c r="C931" s="27"/>
      <c r="D931" s="36"/>
    </row>
    <row r="932" spans="1:4" ht="26.25">
      <c r="A932" s="25">
        <v>30</v>
      </c>
      <c r="B932" s="35" t="s">
        <v>889</v>
      </c>
      <c r="C932" s="27"/>
      <c r="D932" s="36"/>
    </row>
    <row r="933" spans="1:4" ht="26.25">
      <c r="A933" s="25">
        <v>31</v>
      </c>
      <c r="B933" s="35" t="s">
        <v>890</v>
      </c>
      <c r="C933" s="27"/>
      <c r="D933" s="36"/>
    </row>
    <row r="934" spans="1:4" ht="26.25">
      <c r="A934" s="25">
        <v>32</v>
      </c>
      <c r="B934" s="35" t="s">
        <v>891</v>
      </c>
      <c r="C934" s="27"/>
      <c r="D934" s="36"/>
    </row>
    <row r="935" spans="1:4" ht="26.25">
      <c r="A935" s="66" t="s">
        <v>397</v>
      </c>
      <c r="B935" s="67"/>
      <c r="C935" s="68"/>
      <c r="D935" s="59" t="str">
        <f>IF(COUNT(C899:C934)=0,"N/A",SUM((C899:C934))/(COUNT((C899:C934))*2))</f>
        <v>N/A</v>
      </c>
    </row>
    <row r="982" spans="2:4">
      <c r="B982" s="60"/>
      <c r="C982" s="61"/>
      <c r="D982" s="62"/>
    </row>
  </sheetData>
  <mergeCells count="170">
    <mergeCell ref="A1:D1"/>
    <mergeCell ref="A2:D2"/>
    <mergeCell ref="A3:D3"/>
    <mergeCell ref="A4:D4"/>
    <mergeCell ref="A11:D11"/>
    <mergeCell ref="A12:D12"/>
    <mergeCell ref="A17:D17"/>
    <mergeCell ref="A23:D23"/>
    <mergeCell ref="A32:D32"/>
    <mergeCell ref="A50:D50"/>
    <mergeCell ref="A58:D58"/>
    <mergeCell ref="A64:D64"/>
    <mergeCell ref="A74:C74"/>
    <mergeCell ref="A75:D75"/>
    <mergeCell ref="A80:C80"/>
    <mergeCell ref="A81:D81"/>
    <mergeCell ref="A87:C87"/>
    <mergeCell ref="A88:D88"/>
    <mergeCell ref="A92:C92"/>
    <mergeCell ref="A93:D93"/>
    <mergeCell ref="A94:D94"/>
    <mergeCell ref="A103:C103"/>
    <mergeCell ref="A104:D104"/>
    <mergeCell ref="A107:C107"/>
    <mergeCell ref="A108:D108"/>
    <mergeCell ref="A111:C111"/>
    <mergeCell ref="A112:D112"/>
    <mergeCell ref="A113:D113"/>
    <mergeCell ref="A128:D128"/>
    <mergeCell ref="A140:D140"/>
    <mergeCell ref="A152:D152"/>
    <mergeCell ref="A154:C154"/>
    <mergeCell ref="A155:D155"/>
    <mergeCell ref="A156:D156"/>
    <mergeCell ref="A173:D173"/>
    <mergeCell ref="A185:D185"/>
    <mergeCell ref="A193:D193"/>
    <mergeCell ref="A195:C195"/>
    <mergeCell ref="A196:D196"/>
    <mergeCell ref="A212:C212"/>
    <mergeCell ref="A213:D213"/>
    <mergeCell ref="A214:D214"/>
    <mergeCell ref="A232:D232"/>
    <mergeCell ref="A259:D259"/>
    <mergeCell ref="A261:C261"/>
    <mergeCell ref="A262:D262"/>
    <mergeCell ref="A278:C278"/>
    <mergeCell ref="A279:D279"/>
    <mergeCell ref="A280:D280"/>
    <mergeCell ref="A294:D294"/>
    <mergeCell ref="A299:C299"/>
    <mergeCell ref="A300:D300"/>
    <mergeCell ref="A301:D301"/>
    <mergeCell ref="A305:D305"/>
    <mergeCell ref="A316:D316"/>
    <mergeCell ref="A324:D324"/>
    <mergeCell ref="A326:C326"/>
    <mergeCell ref="A327:D327"/>
    <mergeCell ref="A328:D328"/>
    <mergeCell ref="A348:D348"/>
    <mergeCell ref="A370:D370"/>
    <mergeCell ref="A372:C372"/>
    <mergeCell ref="A373:D373"/>
    <mergeCell ref="A374:D374"/>
    <mergeCell ref="A395:D395"/>
    <mergeCell ref="A397:D397"/>
    <mergeCell ref="A403:D403"/>
    <mergeCell ref="A406:D406"/>
    <mergeCell ref="A408:D408"/>
    <mergeCell ref="A410:D410"/>
    <mergeCell ref="A414:C414"/>
    <mergeCell ref="A415:D415"/>
    <mergeCell ref="A416:D416"/>
    <mergeCell ref="A429:D429"/>
    <mergeCell ref="A431:C431"/>
    <mergeCell ref="A432:D432"/>
    <mergeCell ref="A433:D433"/>
    <mergeCell ref="A447:D447"/>
    <mergeCell ref="A451:D451"/>
    <mergeCell ref="A453:C453"/>
    <mergeCell ref="A454:D454"/>
    <mergeCell ref="A479:C479"/>
    <mergeCell ref="A480:D480"/>
    <mergeCell ref="A522:C522"/>
    <mergeCell ref="A523:D523"/>
    <mergeCell ref="A524:D524"/>
    <mergeCell ref="A531:C531"/>
    <mergeCell ref="A532:D532"/>
    <mergeCell ref="A540:C540"/>
    <mergeCell ref="A541:D541"/>
    <mergeCell ref="A542:D542"/>
    <mergeCell ref="A543:D543"/>
    <mergeCell ref="A556:C556"/>
    <mergeCell ref="A557:D557"/>
    <mergeCell ref="A558:D558"/>
    <mergeCell ref="A566:D566"/>
    <mergeCell ref="A573:D573"/>
    <mergeCell ref="A577:D577"/>
    <mergeCell ref="A590:D590"/>
    <mergeCell ref="A605:D605"/>
    <mergeCell ref="A610:D610"/>
    <mergeCell ref="A619:D619"/>
    <mergeCell ref="A624:D624"/>
    <mergeCell ref="A633:C633"/>
    <mergeCell ref="A634:D634"/>
    <mergeCell ref="A635:D635"/>
    <mergeCell ref="A637:D637"/>
    <mergeCell ref="A650:D650"/>
    <mergeCell ref="A657:D657"/>
    <mergeCell ref="A659:D659"/>
    <mergeCell ref="A664:D664"/>
    <mergeCell ref="A666:D666"/>
    <mergeCell ref="A676:C676"/>
    <mergeCell ref="A677:D677"/>
    <mergeCell ref="A680:D680"/>
    <mergeCell ref="A688:D688"/>
    <mergeCell ref="A705:D705"/>
    <mergeCell ref="A707:D707"/>
    <mergeCell ref="A710:D710"/>
    <mergeCell ref="A714:C714"/>
    <mergeCell ref="A715:D715"/>
    <mergeCell ref="A716:D716"/>
    <mergeCell ref="A717:D717"/>
    <mergeCell ref="A724:D724"/>
    <mergeCell ref="A729:D729"/>
    <mergeCell ref="A735:D735"/>
    <mergeCell ref="A738:D738"/>
    <mergeCell ref="A747:D747"/>
    <mergeCell ref="A750:C750"/>
    <mergeCell ref="A751:D751"/>
    <mergeCell ref="A752:D752"/>
    <mergeCell ref="A759:D759"/>
    <mergeCell ref="A767:D767"/>
    <mergeCell ref="A772:D772"/>
    <mergeCell ref="A778:C778"/>
    <mergeCell ref="A855:D855"/>
    <mergeCell ref="A861:D861"/>
    <mergeCell ref="A779:D779"/>
    <mergeCell ref="A780:D780"/>
    <mergeCell ref="A782:D782"/>
    <mergeCell ref="A785:D785"/>
    <mergeCell ref="A791:D791"/>
    <mergeCell ref="A804:C804"/>
    <mergeCell ref="A805:D805"/>
    <mergeCell ref="A806:D806"/>
    <mergeCell ref="A821:C821"/>
    <mergeCell ref="A926:D926"/>
    <mergeCell ref="A930:D930"/>
    <mergeCell ref="A935:C935"/>
    <mergeCell ref="A9:A10"/>
    <mergeCell ref="B9:B10"/>
    <mergeCell ref="C9:C10"/>
    <mergeCell ref="D9:D10"/>
    <mergeCell ref="A5:D8"/>
    <mergeCell ref="A865:D865"/>
    <mergeCell ref="A872:C872"/>
    <mergeCell ref="A873:D873"/>
    <mergeCell ref="A879:C879"/>
    <mergeCell ref="A880:D880"/>
    <mergeCell ref="A896:C896"/>
    <mergeCell ref="A897:D897"/>
    <mergeCell ref="A898:D898"/>
    <mergeCell ref="A910:D910"/>
    <mergeCell ref="A822:D822"/>
    <mergeCell ref="A834:C834"/>
    <mergeCell ref="A835:D835"/>
    <mergeCell ref="A836:D836"/>
    <mergeCell ref="A843:D843"/>
    <mergeCell ref="A846:D846"/>
    <mergeCell ref="A851:D851"/>
  </mergeCells>
  <conditionalFormatting sqref="C13:C16 C18:C22 C24:C31 C33:C49 C51:C57 C59:C63 C65:C73 C76:C79 C82:C86 C89:C91 C95:C102 C105:C106 C109:C110 C114:C127 C129:C139 C141:C151 C153 C157:C172 C174:C184 C186:C192 C194 C197:C211 C215:C231 C233:C258 C260 C263:C277 C281:C293 C295:C298 C302:C304 C306:C315 C317:C323 C325 C329:C347 C349:C369 C371 C375:C394 C396 C398:C402 C404:C405 C407 C409 C411:C413 C417:C428 C430 C434:C446 C448:C450 C452 C455:C478 C481:C521 C525:C530 C533:C539 C544:C555 C559:C565 C567:C572 C574:C576 C578:C589 C591:C604 C606:C609 C611:C618 C620:C623 C625:C632 C636 C638:C649 C651:C656 C658 C660:C663 C665 C667:C675 C678:C679 C681:C687 C689:C704 C706 C708:C709 C711:C713 C718:C723 C725:C728 C730:C734 C736:C737 C739:C746 C748:C749 C753:C758 C760:C766 C768:C771 C773:C777 C781 C783:C784 C786:C790 C792:C803 C807:C820 C823:C833 C837:C842 C844:C845 C847:C850 C852:C854 C856:C860 C862:C864 C866:C871 C874:C878 C881:C895 C899:C909 C911:C925 C927:C929 C931:C934">
    <cfRule type="containsBlanks" priority="1">
      <formula>LEN(TRIM(C13))=0</formula>
    </cfRule>
    <cfRule type="cellIs" dxfId="13" priority="2" operator="equal">
      <formula>"N/A"</formula>
    </cfRule>
    <cfRule type="cellIs" dxfId="12" priority="3" operator="equal">
      <formula>2</formula>
    </cfRule>
    <cfRule type="cellIs" dxfId="11" priority="4" operator="equal">
      <formula>1</formula>
    </cfRule>
  </conditionalFormatting>
  <pageMargins left="0.69930555555555596" right="0.69930555555555596" top="0.75" bottom="0.75" header="0.3" footer="0.3"/>
  <pageSetup scale="59" fitToHeight="0" orientation="portrait"/>
  <colBreaks count="1" manualBreakCount="1">
    <brk id="1" max="934" man="1"/>
  </colBreaks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operator="containsText" id="{6E3660EC-1DA9-B249-A6F7-C869DF5F3049}">
            <xm:f>NOT(ISERROR(SEARCH(0,C13)))</xm:f>
            <xm:f>0</xm:f>
            <x14:dxf>
              <fill>
                <patternFill patternType="solid">
                  <bgColor rgb="FFFF0000"/>
                </patternFill>
              </fill>
            </x14:dxf>
          </x14:cfRule>
          <xm:sqref>C13:C16 C18:C22 C24:C31 C33:C49 C51:C57 C59:C63 C65:C73 C76:C79 C82:C86 C89:C91 C95:C102 C105:C106 C109:C110 C114:C127 C129:C139 C141:C151 C153 C157:C172 C174:C184 C186:C192 C194 C197:C211 C215:C231 C233:C258 C260 C263:C277 C281:C293 C295:C298 C302:C304 C306:C315 C317:C323 C325 C329:C347 C349:C369 C371 C375:C394 C396 C398:C402 C404:C405 C407 C409 C411:C413 C417:C428 C430 C434:C446 C448:C450 C452 C455:C478 C481:C521 C525:C530 C533:C539 C544:C555 C559:C565 C567:C572 C574:C576 C578:C589 C591:C604 C606:C609 C611:C618 C620:C623 C625:C632 C636 C638:C649 C651:C656 C658 C660:C663 C665 C667:C675 C678:C679 C681:C687 C689:C704 C706 C708:C709 C711:C713 C718:C723 C725:C728 C730:C734 C736:C737 C739:C746 C748:C749 C753:C758 C760:C766 C768:C771 C773:C777 C781 C783:C784 C786:C790 C792:C803 C807:C820 C823:C833 C837:C842 C844:C845 C847:C850 C852:C854 C856:C860 C862:C864 C866:C871 C874:C878 C881:C895 C899:C909 C911:C925 C927:C929 C931:C934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'don,t delete or edit this sheet'!$A$1:$A$4</xm:f>
          </x14:formula1>
          <xm:sqref>C153 C194 C260 C325 C371 C396 C407 C409 C430 C452 C636 C658 C665 C706 C781 C13:C16 C18:C22 C24:C31 C33:C49 C51:C57 C59:C63 C65:C73 C76:C79 C82:C86 C89:C91 C95:C102 C105:C106 C109:C110 C114:C127 C129:C139 C141:C151 C157:C172 C174:C184 C186:C192 C197:C211 C215:C231 C233:C258 C263:C277 C281:C293 C295:C298 C302:C304 C306:C315 C317:C323 C329:C347 C349:C369 C375:C394 C398:C402 C404:C405 C411:C413 C417:C428 C434:C446 C448:C450 C455:C478 C481:C521 C525:C530 C533:C539 C544:C555 C559:C565 C567:C572 C574:C576 C578:C589 C591:C604 C606:C609 C611:C618 C620:C623 C625:C632 C638:C649 C651:C656 C660:C663 C667:C675 C678:C679 C681:C687 C689:C704 C708:C709 C711:C713 C718:C723 C725:C728 C730:C734 C736:C737 C739:C746 C748:C749 C753:C758 C760:C766 C768:C771 C773:C777 C783:C784 C786:C790 C792:C803 C807:C820 C823:C833 C837:C842 C844:C845 C847:C850 C852:C854 C856:C860 C862:C864 C866:C871 C874:C878 C881:C895 C899:C909 C911:C925 C927:C929 C931:C934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G45"/>
  <sheetViews>
    <sheetView showGridLines="0" rightToLeft="1" tabSelected="1" topLeftCell="A27" zoomScale="85" zoomScaleNormal="85" workbookViewId="0">
      <selection activeCell="E1" sqref="E1:G1"/>
    </sheetView>
  </sheetViews>
  <sheetFormatPr defaultColWidth="9.5703125" defaultRowHeight="15"/>
  <cols>
    <col min="4" max="4" width="50.28515625" customWidth="1"/>
    <col min="5" max="5" width="30.7109375" customWidth="1"/>
  </cols>
  <sheetData>
    <row r="1" spans="1:7" ht="21" customHeight="1">
      <c r="A1" s="125" t="s">
        <v>892</v>
      </c>
      <c r="B1" s="126"/>
      <c r="C1" s="126"/>
      <c r="D1" s="127"/>
      <c r="E1" s="128" t="s">
        <v>935</v>
      </c>
      <c r="F1" s="129"/>
      <c r="G1" s="130"/>
    </row>
    <row r="2" spans="1:7" ht="21" customHeight="1">
      <c r="A2" s="125" t="s">
        <v>893</v>
      </c>
      <c r="B2" s="126"/>
      <c r="C2" s="126"/>
      <c r="D2" s="127"/>
      <c r="E2" s="125" t="s">
        <v>894</v>
      </c>
      <c r="F2" s="126"/>
      <c r="G2" s="127"/>
    </row>
    <row r="3" spans="1:7" ht="21" customHeight="1">
      <c r="A3" s="125" t="s">
        <v>895</v>
      </c>
      <c r="B3" s="126"/>
      <c r="C3" s="126"/>
      <c r="D3" s="127"/>
      <c r="E3" s="15" t="s">
        <v>896</v>
      </c>
      <c r="F3" s="131" t="str">
        <f>E41</f>
        <v>N/A</v>
      </c>
      <c r="G3" s="132"/>
    </row>
    <row r="4" spans="1:7" ht="15.75">
      <c r="C4" s="3"/>
      <c r="D4" s="4"/>
      <c r="E4" s="17"/>
    </row>
    <row r="5" spans="1:7" ht="18.75">
      <c r="C5" s="5" t="s">
        <v>4</v>
      </c>
      <c r="D5" s="6" t="s">
        <v>897</v>
      </c>
      <c r="E5" s="18" t="s">
        <v>898</v>
      </c>
    </row>
    <row r="6" spans="1:7" ht="18.75">
      <c r="C6" s="7">
        <v>1</v>
      </c>
      <c r="D6" s="8" t="s">
        <v>899</v>
      </c>
      <c r="E6" s="19" t="str">
        <f>المرور!D74</f>
        <v>N/A</v>
      </c>
    </row>
    <row r="7" spans="1:7" ht="18.75">
      <c r="C7" s="9">
        <v>2</v>
      </c>
      <c r="D7" s="8" t="s">
        <v>900</v>
      </c>
      <c r="E7" s="19" t="str">
        <f>المرور!D80</f>
        <v>N/A</v>
      </c>
    </row>
    <row r="8" spans="1:7" ht="18.75">
      <c r="C8" s="7">
        <v>3</v>
      </c>
      <c r="D8" s="8" t="s">
        <v>901</v>
      </c>
      <c r="E8" s="19" t="str">
        <f>المرور!D87</f>
        <v>N/A</v>
      </c>
    </row>
    <row r="9" spans="1:7" ht="18.75">
      <c r="C9" s="9">
        <v>4</v>
      </c>
      <c r="D9" s="8" t="s">
        <v>902</v>
      </c>
      <c r="E9" s="19" t="str">
        <f>المرور!D92</f>
        <v>N/A</v>
      </c>
    </row>
    <row r="10" spans="1:7" ht="18.75">
      <c r="C10" s="9">
        <v>5</v>
      </c>
      <c r="D10" s="8" t="s">
        <v>903</v>
      </c>
      <c r="E10" s="19" t="str">
        <f>المرور!D103</f>
        <v>N/A</v>
      </c>
    </row>
    <row r="11" spans="1:7" ht="18.75">
      <c r="C11" s="7">
        <v>6</v>
      </c>
      <c r="D11" s="8" t="s">
        <v>904</v>
      </c>
      <c r="E11" s="19" t="str">
        <f>المرور!D107</f>
        <v>N/A</v>
      </c>
    </row>
    <row r="12" spans="1:7" ht="18.75">
      <c r="C12" s="9">
        <v>7</v>
      </c>
      <c r="D12" s="8" t="s">
        <v>905</v>
      </c>
      <c r="E12" s="19" t="str">
        <f>المرور!D111</f>
        <v>N/A</v>
      </c>
    </row>
    <row r="13" spans="1:7" ht="18.75">
      <c r="C13" s="7">
        <v>8</v>
      </c>
      <c r="D13" s="8" t="s">
        <v>906</v>
      </c>
      <c r="E13" s="19" t="str">
        <f>المرور!D154</f>
        <v>N/A</v>
      </c>
    </row>
    <row r="14" spans="1:7" ht="18.75">
      <c r="C14" s="9">
        <v>9</v>
      </c>
      <c r="D14" s="8" t="s">
        <v>907</v>
      </c>
      <c r="E14" s="19" t="str">
        <f>المرور!D195</f>
        <v>N/A</v>
      </c>
    </row>
    <row r="15" spans="1:7" ht="18.75">
      <c r="C15" s="9">
        <v>10</v>
      </c>
      <c r="D15" s="8" t="s">
        <v>908</v>
      </c>
      <c r="E15" s="19" t="str">
        <f>المرور!D212</f>
        <v>N/A</v>
      </c>
    </row>
    <row r="16" spans="1:7" ht="18.75">
      <c r="C16" s="7">
        <v>11</v>
      </c>
      <c r="D16" s="8" t="s">
        <v>909</v>
      </c>
      <c r="E16" s="19" t="str">
        <f>المرور!D261</f>
        <v>N/A</v>
      </c>
    </row>
    <row r="17" spans="3:5" ht="18.75">
      <c r="C17" s="7">
        <v>12</v>
      </c>
      <c r="D17" s="8" t="s">
        <v>910</v>
      </c>
      <c r="E17" s="19" t="str">
        <f>المرور!D278</f>
        <v>N/A</v>
      </c>
    </row>
    <row r="18" spans="3:5" ht="18.75">
      <c r="C18" s="9">
        <v>13</v>
      </c>
      <c r="D18" s="8" t="s">
        <v>911</v>
      </c>
      <c r="E18" s="19" t="str">
        <f>المرور!D299</f>
        <v>N/A</v>
      </c>
    </row>
    <row r="19" spans="3:5" ht="18.75">
      <c r="C19" s="7">
        <v>14</v>
      </c>
      <c r="D19" s="8" t="s">
        <v>912</v>
      </c>
      <c r="E19" s="19" t="str">
        <f>المرور!D326</f>
        <v>N/A</v>
      </c>
    </row>
    <row r="20" spans="3:5" ht="18.75">
      <c r="C20" s="9">
        <v>15</v>
      </c>
      <c r="D20" s="8" t="s">
        <v>913</v>
      </c>
      <c r="E20" s="19" t="str">
        <f>المرور!D372</f>
        <v>N/A</v>
      </c>
    </row>
    <row r="21" spans="3:5" ht="18.75">
      <c r="C21" s="7">
        <v>16</v>
      </c>
      <c r="D21" s="8" t="s">
        <v>914</v>
      </c>
      <c r="E21" s="19" t="str">
        <f>المرور!D414</f>
        <v>N/A</v>
      </c>
    </row>
    <row r="22" spans="3:5" ht="18.75">
      <c r="C22" s="9">
        <v>17</v>
      </c>
      <c r="D22" s="8" t="s">
        <v>915</v>
      </c>
      <c r="E22" s="19" t="str">
        <f>المرور!D431</f>
        <v>N/A</v>
      </c>
    </row>
    <row r="23" spans="3:5" ht="18.75">
      <c r="C23" s="9">
        <v>18</v>
      </c>
      <c r="D23" s="8" t="s">
        <v>916</v>
      </c>
      <c r="E23" s="19" t="str">
        <f>المرور!D453</f>
        <v>N/A</v>
      </c>
    </row>
    <row r="24" spans="3:5" ht="18.75">
      <c r="C24" s="9">
        <v>19</v>
      </c>
      <c r="D24" s="8" t="s">
        <v>917</v>
      </c>
      <c r="E24" s="19" t="str">
        <f>المرور!D479</f>
        <v>N/A</v>
      </c>
    </row>
    <row r="25" spans="3:5" ht="18.75">
      <c r="C25" s="9">
        <v>20</v>
      </c>
      <c r="D25" s="8" t="s">
        <v>918</v>
      </c>
      <c r="E25" s="19" t="str">
        <f>المرور!D522</f>
        <v>N/A</v>
      </c>
    </row>
    <row r="26" spans="3:5" ht="18.75">
      <c r="C26" s="9">
        <v>21</v>
      </c>
      <c r="D26" s="8" t="s">
        <v>919</v>
      </c>
      <c r="E26" s="19" t="str">
        <f>المرور!D531</f>
        <v>N/A</v>
      </c>
    </row>
    <row r="27" spans="3:5" ht="18.75">
      <c r="C27" s="9">
        <v>22</v>
      </c>
      <c r="D27" s="8" t="s">
        <v>920</v>
      </c>
      <c r="E27" s="19" t="str">
        <f>المرور!D540</f>
        <v>N/A</v>
      </c>
    </row>
    <row r="28" spans="3:5" ht="18.75">
      <c r="C28" s="7">
        <v>23</v>
      </c>
      <c r="D28" s="8" t="s">
        <v>921</v>
      </c>
      <c r="E28" s="19" t="str">
        <f>المرور!D556</f>
        <v>N/A</v>
      </c>
    </row>
    <row r="29" spans="3:5" ht="18.75">
      <c r="C29" s="7">
        <v>24</v>
      </c>
      <c r="D29" s="8" t="s">
        <v>922</v>
      </c>
      <c r="E29" s="19" t="str">
        <f>المرور!D633</f>
        <v>N/A</v>
      </c>
    </row>
    <row r="30" spans="3:5" ht="18.75">
      <c r="C30" s="9">
        <v>25</v>
      </c>
      <c r="D30" s="8" t="s">
        <v>923</v>
      </c>
      <c r="E30" s="19" t="str">
        <f>المرور!D676</f>
        <v>N/A</v>
      </c>
    </row>
    <row r="31" spans="3:5" ht="18.75">
      <c r="C31" s="7">
        <v>26</v>
      </c>
      <c r="D31" s="8" t="s">
        <v>924</v>
      </c>
      <c r="E31" s="19" t="str">
        <f>المرور!D714</f>
        <v>N/A</v>
      </c>
    </row>
    <row r="32" spans="3:5" ht="18.75">
      <c r="C32" s="7">
        <v>27</v>
      </c>
      <c r="D32" s="8" t="s">
        <v>925</v>
      </c>
      <c r="E32" s="19" t="str">
        <f>المرور!D750</f>
        <v>N/A</v>
      </c>
    </row>
    <row r="33" spans="1:7" ht="18.75">
      <c r="C33" s="9">
        <v>28</v>
      </c>
      <c r="D33" s="8" t="s">
        <v>926</v>
      </c>
      <c r="E33" s="19" t="str">
        <f>المرور!D778</f>
        <v>N/A</v>
      </c>
    </row>
    <row r="34" spans="1:7" ht="18.75">
      <c r="C34" s="7">
        <v>29</v>
      </c>
      <c r="D34" s="8" t="s">
        <v>927</v>
      </c>
      <c r="E34" s="19" t="str">
        <f>المرور!D804</f>
        <v>N/A</v>
      </c>
    </row>
    <row r="35" spans="1:7" ht="18.75">
      <c r="C35" s="9">
        <v>30</v>
      </c>
      <c r="D35" s="8" t="s">
        <v>928</v>
      </c>
      <c r="E35" s="19" t="str">
        <f>المرور!D821</f>
        <v>N/A</v>
      </c>
    </row>
    <row r="36" spans="1:7" ht="18.75">
      <c r="C36" s="7">
        <v>31</v>
      </c>
      <c r="D36" s="8" t="s">
        <v>929</v>
      </c>
      <c r="E36" s="19" t="str">
        <f>المرور!D834</f>
        <v>N/A</v>
      </c>
    </row>
    <row r="37" spans="1:7" ht="18.75">
      <c r="C37" s="9">
        <v>32</v>
      </c>
      <c r="D37" s="8" t="s">
        <v>930</v>
      </c>
      <c r="E37" s="19" t="str">
        <f>المرور!D872</f>
        <v>N/A</v>
      </c>
    </row>
    <row r="38" spans="1:7" ht="18.75">
      <c r="C38" s="7">
        <v>33</v>
      </c>
      <c r="D38" s="8" t="s">
        <v>931</v>
      </c>
      <c r="E38" s="19" t="str">
        <f>المرور!D879</f>
        <v>N/A</v>
      </c>
    </row>
    <row r="39" spans="1:7" ht="18.75">
      <c r="C39" s="9">
        <v>34</v>
      </c>
      <c r="D39" s="8" t="s">
        <v>932</v>
      </c>
      <c r="E39" s="19" t="str">
        <f>المرور!D896</f>
        <v>N/A</v>
      </c>
    </row>
    <row r="40" spans="1:7" ht="18.75">
      <c r="C40" s="9">
        <v>35</v>
      </c>
      <c r="D40" s="8" t="s">
        <v>933</v>
      </c>
      <c r="E40" s="19" t="str">
        <f>المرور!D935</f>
        <v>N/A</v>
      </c>
    </row>
    <row r="41" spans="1:7" ht="25.5">
      <c r="C41" s="10"/>
      <c r="D41" s="11" t="s">
        <v>606</v>
      </c>
      <c r="E41" s="16" t="str">
        <f>IF(COUNT(المرور!C13:C934)=0,"N/A",SUM((المرور!C13:C934))/(COUNT((المرور!C13:C934))*2))</f>
        <v>N/A</v>
      </c>
    </row>
    <row r="42" spans="1:7" ht="20.25">
      <c r="B42" s="12"/>
      <c r="C42" s="13"/>
      <c r="D42" s="14"/>
      <c r="E42" s="20"/>
      <c r="F42" s="12"/>
    </row>
    <row r="43" spans="1:7" ht="15.6" customHeight="1">
      <c r="A43" s="124" t="s">
        <v>934</v>
      </c>
      <c r="B43" s="124"/>
      <c r="C43" s="124"/>
      <c r="D43" s="124"/>
      <c r="E43" s="124"/>
      <c r="F43" s="124"/>
      <c r="G43" s="124"/>
    </row>
    <row r="44" spans="1:7" ht="15.6" customHeight="1">
      <c r="A44" s="124"/>
      <c r="B44" s="124"/>
      <c r="C44" s="124"/>
      <c r="D44" s="124"/>
      <c r="E44" s="124"/>
      <c r="F44" s="124"/>
      <c r="G44" s="124"/>
    </row>
    <row r="45" spans="1:7" ht="15.6" customHeight="1">
      <c r="A45" s="124"/>
      <c r="B45" s="124"/>
      <c r="C45" s="124"/>
      <c r="D45" s="124"/>
      <c r="E45" s="124"/>
      <c r="F45" s="124"/>
      <c r="G45" s="124"/>
    </row>
  </sheetData>
  <sheetProtection algorithmName="SHA-512" hashValue="kemqUQNNkH+QoVcaNAeiCKm/Zp78PyYKOdhus4HCoQr65rCIh4nfC77gCilmbCHGiNNGT/7dP7QhzocwtX7kTA==" saltValue="TA7dJPFtWEHPDFduMyXvfA==" spinCount="100000" sheet="1" formatCells="0" formatColumns="0" formatRows="0" insertColumns="0" insertRows="0" insertHyperlinks="0" deleteColumns="0" deleteRows="0" selectLockedCells="1" sort="0" autoFilter="0" pivotTables="0"/>
  <mergeCells count="7">
    <mergeCell ref="A43:G45"/>
    <mergeCell ref="A1:D1"/>
    <mergeCell ref="E1:G1"/>
    <mergeCell ref="A2:D2"/>
    <mergeCell ref="E2:G2"/>
    <mergeCell ref="A3:D3"/>
    <mergeCell ref="F3:G3"/>
  </mergeCells>
  <conditionalFormatting sqref="E41">
    <cfRule type="cellIs" dxfId="9" priority="1" operator="equal">
      <formula>0.8</formula>
    </cfRule>
    <cfRule type="cellIs" dxfId="8" priority="2" operator="greaterThan">
      <formula>0.8</formula>
    </cfRule>
    <cfRule type="cellIs" dxfId="7" priority="3" operator="greaterThan">
      <formula>0.5</formula>
    </cfRule>
    <cfRule type="cellIs" dxfId="6" priority="4" operator="equal">
      <formula>0.5</formula>
    </cfRule>
    <cfRule type="cellIs" dxfId="5" priority="5" operator="lessThan">
      <formula>0.5</formula>
    </cfRule>
  </conditionalFormatting>
  <conditionalFormatting sqref="F3">
    <cfRule type="cellIs" dxfId="4" priority="6" operator="equal">
      <formula>0.8</formula>
    </cfRule>
    <cfRule type="cellIs" dxfId="3" priority="7" operator="greaterThan">
      <formula>0.8</formula>
    </cfRule>
    <cfRule type="cellIs" dxfId="2" priority="8" operator="greaterThan">
      <formula>0.5</formula>
    </cfRule>
    <cfRule type="cellIs" dxfId="1" priority="9" operator="equal">
      <formula>0.5</formula>
    </cfRule>
    <cfRule type="cellIs" dxfId="0" priority="10" operator="lessThan">
      <formula>0.5</formula>
    </cfRule>
  </conditionalFormatting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 tint="4.9989318521683403E-2"/>
  </sheetPr>
  <dimension ref="A1:A4"/>
  <sheetViews>
    <sheetView showGridLines="0" workbookViewId="0">
      <selection activeCell="A4" sqref="A1:A4"/>
    </sheetView>
  </sheetViews>
  <sheetFormatPr defaultColWidth="9.5703125" defaultRowHeight="15"/>
  <sheetData>
    <row r="1" spans="1:1">
      <c r="A1" s="1">
        <v>0</v>
      </c>
    </row>
    <row r="2" spans="1:1">
      <c r="A2" s="1">
        <v>1</v>
      </c>
    </row>
    <row r="3" spans="1:1">
      <c r="A3" s="1">
        <v>2</v>
      </c>
    </row>
    <row r="4" spans="1:1">
      <c r="A4" s="2" t="s">
        <v>50</v>
      </c>
    </row>
  </sheetData>
  <sheetProtection algorithmName="SHA-512" hashValue="e3lwAP5JlXhIiNam+DhfcS9ip5rqPK8DDhYTCsxihRmN8tExZDJdTg8aSUFCuP1SdQqleFxBpM8kkzF2RzMkPQ==" saltValue="/dU8R2LlJXr6I1wUXYdrwQ==" spinCount="100000" sheet="1" formatCells="0" formatColumns="0" formatRows="0" insertColumns="0" insertRows="0" insertHyperlinks="0" deleteColumns="0" deleteRows="0" selectLockedCells="1" sort="0" autoFilter="0" pivotTables="0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المرور</vt:lpstr>
      <vt:lpstr>الاجمالي</vt:lpstr>
      <vt:lpstr>don,t delete or edit this sheet</vt:lpstr>
    </vt:vector>
  </TitlesOfParts>
  <Company>khaled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</dc:creator>
  <cp:lastModifiedBy>karim saleh</cp:lastModifiedBy>
  <cp:revision>19</cp:revision>
  <cp:lastPrinted>2025-09-01T10:36:46Z</cp:lastPrinted>
  <dcterms:created xsi:type="dcterms:W3CDTF">2025-05-10T22:25:00Z</dcterms:created>
  <dcterms:modified xsi:type="dcterms:W3CDTF">2026-04-17T21:24:00Z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EE7020499CC910C79FF5C8695E2FFF01_33</vt:lpwstr>
  </property>
  <property fmtid="{D5CDD505-2E9C-101B-9397-08002B2CF9AE}" pid="3" name="KSOProductBuildVer">
    <vt:lpwstr>3081-11.37.40</vt:lpwstr>
  </property>
</Properties>
</file>